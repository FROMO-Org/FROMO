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" sheetId="1" r:id="rId4"/>
    <sheet state="visible" name="Xiya" sheetId="2" r:id="rId5"/>
    <sheet state="visible" name="Sayli" sheetId="3" r:id="rId6"/>
    <sheet state="visible" name="zk" sheetId="4" r:id="rId7"/>
    <sheet state="visible" name="Erwan" sheetId="5" r:id="rId8"/>
  </sheets>
  <definedNames/>
  <calcPr/>
  <extLst>
    <ext uri="GoogleSheetsCustomDataVersion2">
      <go:sheetsCustomData xmlns:go="http://customooxmlschemas.google.com/" r:id="rId9" roundtripDataChecksum="s31DJnDpeENMijW8zeLL+93LLZPlJDXennUfcIvBN9o="/>
    </ext>
  </extLst>
</workbook>
</file>

<file path=xl/sharedStrings.xml><?xml version="1.0" encoding="utf-8"?>
<sst xmlns="http://schemas.openxmlformats.org/spreadsheetml/2006/main" count="679" uniqueCount="345">
  <si>
    <t>Date</t>
  </si>
  <si>
    <t>Task: (Backend Lead)</t>
  </si>
  <si>
    <t>Task: : (Web Frontend Lead)</t>
  </si>
  <si>
    <t>Description</t>
  </si>
  <si>
    <t>Time(in Hours)</t>
  </si>
  <si>
    <t>Time</t>
  </si>
  <si>
    <t>Cost</t>
  </si>
  <si>
    <t>Sum_Time</t>
  </si>
  <si>
    <t>Sum_Cost</t>
  </si>
  <si>
    <t>18.May</t>
  </si>
  <si>
    <t>Kickoff</t>
  </si>
  <si>
    <t>Task: (Product UI/UX lead)</t>
  </si>
  <si>
    <t>19.May</t>
  </si>
  <si>
    <t>Workshop</t>
  </si>
  <si>
    <t>Initialization</t>
  </si>
  <si>
    <t>20.May</t>
  </si>
  <si>
    <t>Task:(Mobile Lead)</t>
  </si>
  <si>
    <t>21.May</t>
  </si>
  <si>
    <t>Idea + Presentation</t>
  </si>
  <si>
    <t>22.May</t>
  </si>
  <si>
    <t>Group meeting</t>
  </si>
  <si>
    <t>Contract + Business Plan</t>
  </si>
  <si>
    <t>23.May</t>
  </si>
  <si>
    <t>24.May</t>
  </si>
  <si>
    <t>29.May</t>
  </si>
  <si>
    <t>Prof Meeting</t>
  </si>
  <si>
    <t>Web App (Usage)</t>
  </si>
  <si>
    <t xml:space="preserve">Prep + Research </t>
  </si>
  <si>
    <t>Rough Decision (Implementation of Web App for B2B)</t>
  </si>
  <si>
    <t>30.May</t>
  </si>
  <si>
    <t>31.May</t>
  </si>
  <si>
    <t>Backend Design</t>
  </si>
  <si>
    <t>File manager choice, database ORM, and others. Creating archetecture etc.</t>
  </si>
  <si>
    <t>Web Frontend Design</t>
  </si>
  <si>
    <t xml:space="preserve">Learning/comparing the frameworks to implement the frontend part </t>
  </si>
  <si>
    <t>1.June</t>
  </si>
  <si>
    <t>Database Design</t>
  </si>
  <si>
    <t>Setting up supabase and verifying the database structure.</t>
  </si>
  <si>
    <t>2.June</t>
  </si>
  <si>
    <t>Group Meeting</t>
  </si>
  <si>
    <t>Start with investigation of CI/CD</t>
  </si>
  <si>
    <t>3.June</t>
  </si>
  <si>
    <t>4.June</t>
  </si>
  <si>
    <t>Set up endpoints</t>
  </si>
  <si>
    <t>Setting up endpoints</t>
  </si>
  <si>
    <t>Linear Initialization</t>
  </si>
  <si>
    <t>Linear setup + Preparation of Contract&amp;Business Plan</t>
  </si>
  <si>
    <t>web app design</t>
  </si>
  <si>
    <t>Learn the framework to implement the web-frontend part</t>
  </si>
  <si>
    <t>5.June</t>
  </si>
  <si>
    <t>Budgetplan Initialization</t>
  </si>
  <si>
    <t xml:space="preserve">Excel </t>
  </si>
  <si>
    <t xml:space="preserve">create basic home page </t>
  </si>
  <si>
    <t>Meeting With Prof</t>
  </si>
  <si>
    <t>6.June</t>
  </si>
  <si>
    <t>7.June</t>
  </si>
  <si>
    <t>implement the frameworks in frontend</t>
  </si>
  <si>
    <t>Figuring out endpoints</t>
  </si>
  <si>
    <t>Started to figure out what endpoints we need, realised we need Auth first</t>
  </si>
  <si>
    <t>26.May</t>
  </si>
  <si>
    <t>8.June</t>
  </si>
  <si>
    <t>User Story</t>
  </si>
  <si>
    <t>Started work on Auth</t>
  </si>
  <si>
    <t>Develop the first version of user story</t>
  </si>
  <si>
    <t>9.June</t>
  </si>
  <si>
    <t>Realised we need both Authorisation and Authentification</t>
  </si>
  <si>
    <t>Meeting</t>
  </si>
  <si>
    <t>Sprint planning</t>
  </si>
  <si>
    <t>10.June</t>
  </si>
  <si>
    <t>Finished Auth</t>
  </si>
  <si>
    <t>Plan the first sprint</t>
  </si>
  <si>
    <t>web app development</t>
  </si>
  <si>
    <t>Auth working, now need to finish Endpoints</t>
  </si>
  <si>
    <t>Setup all core enviroment(react19+typescript+leaflet)</t>
  </si>
  <si>
    <t>Team meeting</t>
  </si>
  <si>
    <t>11.June</t>
  </si>
  <si>
    <t>Plan the meeting, generate the note and update todo list</t>
  </si>
  <si>
    <t>Display the map and Implement one of GET /events/ API on mobile</t>
  </si>
  <si>
    <t>28.May</t>
  </si>
  <si>
    <t>Finished Endpoints</t>
  </si>
  <si>
    <t>12.June</t>
  </si>
  <si>
    <t>Did all the basic endpoints so that Frontend can start working away</t>
  </si>
  <si>
    <t>Prepare for the talk with professor</t>
  </si>
  <si>
    <t>Meeting Prof Online</t>
  </si>
  <si>
    <t>13.June</t>
  </si>
  <si>
    <t>Deployment + Improve</t>
  </si>
  <si>
    <t>Started to work on setting up render + optimising filtering for endpoints</t>
  </si>
  <si>
    <t>14.June</t>
  </si>
  <si>
    <t>web app dev</t>
  </si>
  <si>
    <t>login+signup+home page (fix the siignup issues)</t>
  </si>
  <si>
    <t>Group meeting and generate the meeting notes</t>
  </si>
  <si>
    <t>15.June</t>
  </si>
  <si>
    <t>Generate meeting notes and talk about the datasets, backend software and MVP</t>
  </si>
  <si>
    <t>Deployed backend. Works well</t>
  </si>
  <si>
    <t>16.June</t>
  </si>
  <si>
    <t>Testing</t>
  </si>
  <si>
    <t>Started to work on Backend Tests</t>
  </si>
  <si>
    <t>Interview</t>
  </si>
  <si>
    <t>Talk with 3 students about the general ideas</t>
  </si>
  <si>
    <t>17.June</t>
  </si>
  <si>
    <t>Questionaire</t>
  </si>
  <si>
    <t>18.June</t>
  </si>
  <si>
    <t>Prepare the questionaire with google form</t>
  </si>
  <si>
    <t xml:space="preserve">fix the login and sign up issue </t>
  </si>
  <si>
    <t>Mobile app design</t>
  </si>
  <si>
    <t>Mockup</t>
  </si>
  <si>
    <t>Learn about the fundamental knowledge about Dart language</t>
  </si>
  <si>
    <t>Design the first mockup for web and mobilep platform</t>
  </si>
  <si>
    <t>Supabase Auth</t>
  </si>
  <si>
    <t>Fixign Authentification</t>
  </si>
  <si>
    <t>19.June</t>
  </si>
  <si>
    <t>Git workflow</t>
  </si>
  <si>
    <t>1st presentation</t>
  </si>
  <si>
    <t>20 June</t>
  </si>
  <si>
    <t>Initialize a new group repository locally and push it to GitHub</t>
  </si>
  <si>
    <t xml:space="preserve">21 June </t>
  </si>
  <si>
    <t xml:space="preserve">implement dashboard page for organization </t>
  </si>
  <si>
    <t>20.June</t>
  </si>
  <si>
    <t>21.June</t>
  </si>
  <si>
    <t>22.June</t>
  </si>
  <si>
    <t>Dashboard API</t>
  </si>
  <si>
    <t>22 June</t>
  </si>
  <si>
    <t>Creating the dashboard API</t>
  </si>
  <si>
    <t>Prepare the meeting, attend the meeting and generate the meeting notes</t>
  </si>
  <si>
    <t xml:space="preserve">implement other pages-Profile, Settings </t>
  </si>
  <si>
    <t>23.June</t>
  </si>
  <si>
    <t>Start with investigation of Github workflow</t>
  </si>
  <si>
    <t>Online meeting</t>
  </si>
  <si>
    <t>update User Story</t>
  </si>
  <si>
    <t>24.June</t>
  </si>
  <si>
    <t>After reviews, 10 user stories are prioritized</t>
  </si>
  <si>
    <t>dashboard api</t>
  </si>
  <si>
    <t>23 June</t>
  </si>
  <si>
    <t>Finishing with dashboard api and pushing it</t>
  </si>
  <si>
    <t>24 June</t>
  </si>
  <si>
    <t>update Businessplan</t>
  </si>
  <si>
    <t>Update gantt chart and details</t>
  </si>
  <si>
    <t xml:space="preserve">25 June </t>
  </si>
  <si>
    <t>25.June</t>
  </si>
  <si>
    <t>Implementation of Dark Mode(In Progress)</t>
  </si>
  <si>
    <t>26.June</t>
  </si>
  <si>
    <t>Online meeting w prof</t>
  </si>
  <si>
    <t>meeting with tutor and teammates</t>
  </si>
  <si>
    <t>talk about the prototype, sprint planning, presentation, user stories</t>
  </si>
  <si>
    <t>Learn the framework to implement the mobile part</t>
  </si>
  <si>
    <t>27.June</t>
  </si>
  <si>
    <t>29.June</t>
  </si>
  <si>
    <t xml:space="preserve">venue details page </t>
  </si>
  <si>
    <t>28.June</t>
  </si>
  <si>
    <t>Mockup, questionaire and sprint planning</t>
  </si>
  <si>
    <t>finalize the questionaire in google form, sort out the mockup and reference code, finalize the sprint planning structure</t>
  </si>
  <si>
    <t>30.June</t>
  </si>
  <si>
    <t>Fixing backend</t>
  </si>
  <si>
    <t>Adding URL image for events and fixing datetime issues</t>
  </si>
  <si>
    <t>1.July</t>
  </si>
  <si>
    <t>Online Meeting</t>
  </si>
  <si>
    <t>2.July</t>
  </si>
  <si>
    <t>Backlog +  Ganttchart</t>
  </si>
  <si>
    <t>Sprint 1 checkpoint and get feedback from tutor</t>
  </si>
  <si>
    <t>Update the backlog and ganttchart</t>
  </si>
  <si>
    <t>3.July</t>
  </si>
  <si>
    <t>Prep presentation</t>
  </si>
  <si>
    <t>Sprint review</t>
  </si>
  <si>
    <t>Presentation</t>
  </si>
  <si>
    <t>Preparation</t>
  </si>
  <si>
    <t>3 July</t>
  </si>
  <si>
    <t>4 July</t>
  </si>
  <si>
    <t>6 July</t>
  </si>
  <si>
    <t xml:space="preserve">Heatmap and ML model implementation in the frontend with images </t>
  </si>
  <si>
    <t>4.July</t>
  </si>
  <si>
    <t>7 July</t>
  </si>
  <si>
    <t>5.July</t>
  </si>
  <si>
    <t>Fully creating testing</t>
  </si>
  <si>
    <t>setting up the style of test</t>
  </si>
  <si>
    <t>Decide the framework of mobile project</t>
  </si>
  <si>
    <t>Fallback image from ticketmaster, Unsplash based on category if image url is not present in the DB</t>
  </si>
  <si>
    <t>6.July</t>
  </si>
  <si>
    <t>Creating and finalising test</t>
  </si>
  <si>
    <t>8 July</t>
  </si>
  <si>
    <t>Presentation + sprint review + group meeting</t>
  </si>
  <si>
    <t>Fix the login issues(issues during a new signup)</t>
  </si>
  <si>
    <t>7.July</t>
  </si>
  <si>
    <t>9 July</t>
  </si>
  <si>
    <t>Backlog + Timesheet + CI</t>
  </si>
  <si>
    <t>Work on the AI summary and description</t>
  </si>
  <si>
    <t>Update</t>
  </si>
  <si>
    <t>8.July</t>
  </si>
  <si>
    <t>9.July</t>
  </si>
  <si>
    <t>26.Jun</t>
  </si>
  <si>
    <t>12 July</t>
  </si>
  <si>
    <t>Backlog + Group Meeting + CI + Metting with Professor</t>
  </si>
  <si>
    <t>10.July</t>
  </si>
  <si>
    <t>fix the map (use inbuilt map instead of the google maps)</t>
  </si>
  <si>
    <t>Mobile app development</t>
  </si>
  <si>
    <t>30.Jun</t>
  </si>
  <si>
    <t>Setup all core enviroment and build the Scafford of moblie end.</t>
  </si>
  <si>
    <t>11.July</t>
  </si>
  <si>
    <t>14 July</t>
  </si>
  <si>
    <t>12.July</t>
  </si>
  <si>
    <t xml:space="preserve">CI and Test for data </t>
  </si>
  <si>
    <t>13.July</t>
  </si>
  <si>
    <t>15 July</t>
  </si>
  <si>
    <t>14.July</t>
  </si>
  <si>
    <t>Prepare for the presentation(web app)</t>
  </si>
  <si>
    <t>15.July</t>
  </si>
  <si>
    <t xml:space="preserve">Stripe </t>
  </si>
  <si>
    <t>16 July</t>
  </si>
  <si>
    <t xml:space="preserve">Adding payment system </t>
  </si>
  <si>
    <t>Fix the create listing(Dashboard), add event creation, Final touchup to the presentation</t>
  </si>
  <si>
    <t>16.July</t>
  </si>
  <si>
    <t>17 July</t>
  </si>
  <si>
    <t>Add the event status and fix the dashobard reload error</t>
  </si>
  <si>
    <t>Sprint Review + Presentation</t>
  </si>
  <si>
    <t>Attend</t>
  </si>
  <si>
    <t>17.July</t>
  </si>
  <si>
    <t>Presentation (Not me)</t>
  </si>
  <si>
    <t>18 July</t>
  </si>
  <si>
    <t xml:space="preserve">AI Summary implementation(Gemini API key), small map on the event page </t>
  </si>
  <si>
    <t>10.Jul</t>
  </si>
  <si>
    <t>Meeting + Report Structure</t>
  </si>
  <si>
    <t>18.July</t>
  </si>
  <si>
    <t>Attend the meeting and organize the report</t>
  </si>
  <si>
    <t>Adding payment testing</t>
  </si>
  <si>
    <t>21 July</t>
  </si>
  <si>
    <t>13.Jul</t>
  </si>
  <si>
    <t>Work and research on the project report</t>
  </si>
  <si>
    <t>19.July</t>
  </si>
  <si>
    <t>Organize the Backlogs in linear</t>
  </si>
  <si>
    <t>Sort the backlogs</t>
  </si>
  <si>
    <t>20.July</t>
  </si>
  <si>
    <t>Paper</t>
  </si>
  <si>
    <t xml:space="preserve">24 July </t>
  </si>
  <si>
    <t>Figuring out the writes up (my part of the paper)</t>
  </si>
  <si>
    <t>Sprint review + Project Group meeting</t>
  </si>
  <si>
    <t>14.Jul</t>
  </si>
  <si>
    <t>1 draft of report</t>
  </si>
  <si>
    <t>write the report</t>
  </si>
  <si>
    <t>21.July</t>
  </si>
  <si>
    <t>27.July</t>
  </si>
  <si>
    <t>15.Jul</t>
  </si>
  <si>
    <t>improve the ML model</t>
  </si>
  <si>
    <t>Demo + interview</t>
  </si>
  <si>
    <t>Preparation for demo &amp; interview</t>
  </si>
  <si>
    <t>22.July</t>
  </si>
  <si>
    <t>improve the features and models</t>
  </si>
  <si>
    <t>Interview Prototype</t>
  </si>
  <si>
    <t>3 interviews</t>
  </si>
  <si>
    <t>17.Jul</t>
  </si>
  <si>
    <t>frontend presentation+sprint review+group meeting+user interview questions+sort the backlogs</t>
  </si>
  <si>
    <t>23.July</t>
  </si>
  <si>
    <t>rest stuffs</t>
  </si>
  <si>
    <t>Diagram</t>
  </si>
  <si>
    <t>Drawing diagram for the paper</t>
  </si>
  <si>
    <t>Mobile dev</t>
  </si>
  <si>
    <t>Deploy mobile on netlify</t>
  </si>
  <si>
    <t>29.July</t>
  </si>
  <si>
    <t>23.Jul</t>
  </si>
  <si>
    <t>Interview with friends</t>
  </si>
  <si>
    <t>24.July</t>
  </si>
  <si>
    <t>Preparation for interview</t>
  </si>
  <si>
    <t>Online meeting with prof</t>
  </si>
  <si>
    <t>write down the result of interview</t>
  </si>
  <si>
    <t>Meeting seeing what we will do about demo and paper</t>
  </si>
  <si>
    <t>24.Jul</t>
  </si>
  <si>
    <t>25.July</t>
  </si>
  <si>
    <t>Sprint review + group meetings</t>
  </si>
  <si>
    <t>Demo Prep</t>
  </si>
  <si>
    <t>discuss the demo</t>
  </si>
  <si>
    <t>Outlining idea + speach</t>
  </si>
  <si>
    <t>Github Repo</t>
  </si>
  <si>
    <t>Setup and clean the repo</t>
  </si>
  <si>
    <t xml:space="preserve">Implement inside- app route </t>
  </si>
  <si>
    <t>25.Jul</t>
  </si>
  <si>
    <t>26.July</t>
  </si>
  <si>
    <t>Report + Summarize the user interviews + update linear</t>
  </si>
  <si>
    <t>creating videos plus admin and powerpoint</t>
  </si>
  <si>
    <t>GitHub Repo</t>
  </si>
  <si>
    <t>Finalize the repo and add everything necessary, fix the CI/CD</t>
  </si>
  <si>
    <t>Practising</t>
  </si>
  <si>
    <t>Mobile app</t>
  </si>
  <si>
    <t>28.July</t>
  </si>
  <si>
    <t>30.July</t>
  </si>
  <si>
    <t xml:space="preserve">Demo  </t>
  </si>
  <si>
    <t>Explained it 20 times</t>
  </si>
  <si>
    <t>31.July</t>
  </si>
  <si>
    <t xml:space="preserve">Develop saved part and venue details page </t>
  </si>
  <si>
    <t>Preping for interview</t>
  </si>
  <si>
    <t>CI update</t>
  </si>
  <si>
    <t>Revising everything i did</t>
  </si>
  <si>
    <t>Interview itself</t>
  </si>
  <si>
    <t>Linear finalization</t>
  </si>
  <si>
    <t>Sort the backlogs and finalize the documentation</t>
  </si>
  <si>
    <t>Report refinement</t>
  </si>
  <si>
    <t>Refine the report, such as the logic, language and add the footnote as required</t>
  </si>
  <si>
    <t>Delivery checklist</t>
  </si>
  <si>
    <t>check the delivery and ensure the requirement</t>
  </si>
  <si>
    <t>Fixing things</t>
  </si>
  <si>
    <t>Creating test API + fixing backend repo</t>
  </si>
  <si>
    <t>group meeting</t>
  </si>
  <si>
    <t xml:space="preserve">Mobile app </t>
  </si>
  <si>
    <t>Fix DNS cache issue</t>
  </si>
  <si>
    <t>Mobile Presentation</t>
  </si>
  <si>
    <t>Prepare mobile presentation</t>
  </si>
  <si>
    <t xml:space="preserve"> </t>
  </si>
  <si>
    <t xml:space="preserve">Discuss some tech issues and set following goals </t>
  </si>
  <si>
    <t>Sprint Review</t>
  </si>
  <si>
    <t>Paper work</t>
  </si>
  <si>
    <t>Change theme to make sure all platforms are the saem</t>
  </si>
  <si>
    <t>Write the mobile methodology and reference</t>
  </si>
  <si>
    <t>Interview Prep</t>
  </si>
  <si>
    <t>Task: (Data ML lead)</t>
  </si>
  <si>
    <t xml:space="preserve">Prepare the final Interview question </t>
  </si>
  <si>
    <t>Interview day</t>
  </si>
  <si>
    <t>0.5</t>
  </si>
  <si>
    <t>Github repo</t>
  </si>
  <si>
    <t>Change the repository visibility and set up branches protection rules</t>
  </si>
  <si>
    <t>27.May</t>
  </si>
  <si>
    <t>Testing Plan</t>
  </si>
  <si>
    <t>Creating Testing Plan for group members</t>
  </si>
  <si>
    <t>Prep</t>
  </si>
  <si>
    <t>Data</t>
  </si>
  <si>
    <t>Investigating possible datasets</t>
  </si>
  <si>
    <t xml:space="preserve">Start cleaning datasets </t>
  </si>
  <si>
    <t>Cleaning datasets</t>
  </si>
  <si>
    <t>Create pipeline</t>
  </si>
  <si>
    <t>Investigate modelling</t>
  </si>
  <si>
    <t>API</t>
  </si>
  <si>
    <t>Look into Ticketmaster API</t>
  </si>
  <si>
    <t>Populate Venues</t>
  </si>
  <si>
    <t>Populate Events</t>
  </si>
  <si>
    <t>Model</t>
  </si>
  <si>
    <t>Train model</t>
  </si>
  <si>
    <t>Fine-tune model</t>
  </si>
  <si>
    <t>Create new features</t>
  </si>
  <si>
    <t>Prep Presentation</t>
  </si>
  <si>
    <t>DB &amp; API</t>
  </si>
  <si>
    <t>Add zones to DB+API Code</t>
  </si>
  <si>
    <t>API &amp; Norm</t>
  </si>
  <si>
    <t xml:space="preserve">API Code &amp; Norm </t>
  </si>
  <si>
    <t>Meeting + updates</t>
  </si>
  <si>
    <t>In-person meeting</t>
  </si>
  <si>
    <t>Paper + interview</t>
  </si>
  <si>
    <t xml:space="preserve">25. July </t>
  </si>
  <si>
    <t>GitHub</t>
  </si>
  <si>
    <t>Finalize GitHub repo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</si>
</sst>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.mmmm"/>
    <numFmt numFmtId="165" formatCode="d.mmm"/>
    <numFmt numFmtId="166" formatCode="d. mmmm"/>
  </numFmts>
  <fonts count="3">
    <font>
      <sz val="12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horizontal="left" readingOrder="0"/>
    </xf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horizontal="left" readingOrder="0"/>
    </xf>
    <xf borderId="0" fillId="0" fontId="2" numFmtId="164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11"/>
    <col customWidth="1" min="2" max="2" width="21.44"/>
    <col customWidth="1" min="3" max="3" width="61.22"/>
    <col customWidth="1" min="4" max="4" width="12.78"/>
    <col customWidth="1" min="5" max="26" width="8.33"/>
  </cols>
  <sheetData>
    <row r="1" ht="15.75" customHeight="1">
      <c r="A1" s="1" t="s">
        <v>0</v>
      </c>
      <c r="B1" s="2" t="s">
        <v>1</v>
      </c>
      <c r="C1" s="1" t="s">
        <v>3</v>
      </c>
      <c r="D1" s="2" t="s">
        <v>4</v>
      </c>
      <c r="E1" s="2" t="s">
        <v>6</v>
      </c>
      <c r="F1" s="2" t="s">
        <v>7</v>
      </c>
      <c r="G1" s="2" t="s">
        <v>8</v>
      </c>
    </row>
    <row r="2" ht="15.75" customHeight="1">
      <c r="A2" s="1" t="s">
        <v>9</v>
      </c>
      <c r="B2" s="1" t="s">
        <v>10</v>
      </c>
      <c r="C2" s="1" t="s">
        <v>10</v>
      </c>
      <c r="D2" s="1">
        <v>8.0</v>
      </c>
      <c r="E2" s="1">
        <f t="shared" ref="E2:E79" si="1"> 25*D2</f>
        <v>200</v>
      </c>
      <c r="F2" s="1">
        <f>SUM(D:D)</f>
        <v>180</v>
      </c>
      <c r="G2" s="1">
        <f>F2*25</f>
        <v>4500</v>
      </c>
    </row>
    <row r="3" ht="15.75" customHeight="1">
      <c r="A3" s="1" t="s">
        <v>12</v>
      </c>
      <c r="B3" s="1" t="s">
        <v>13</v>
      </c>
      <c r="C3" s="1" t="s">
        <v>14</v>
      </c>
      <c r="D3" s="1">
        <v>8.0</v>
      </c>
      <c r="E3" s="1">
        <f t="shared" si="1"/>
        <v>200</v>
      </c>
    </row>
    <row r="4" ht="15.75" customHeight="1">
      <c r="A4" s="1" t="s">
        <v>15</v>
      </c>
      <c r="B4" s="1" t="s">
        <v>13</v>
      </c>
      <c r="C4" s="1" t="s">
        <v>14</v>
      </c>
      <c r="D4" s="1">
        <v>8.0</v>
      </c>
      <c r="E4" s="1">
        <f t="shared" si="1"/>
        <v>200</v>
      </c>
    </row>
    <row r="5" ht="15.75" customHeight="1">
      <c r="A5" s="1" t="s">
        <v>17</v>
      </c>
      <c r="B5" s="1" t="s">
        <v>13</v>
      </c>
      <c r="C5" s="1" t="s">
        <v>18</v>
      </c>
      <c r="D5" s="1">
        <v>8.0</v>
      </c>
      <c r="E5" s="1">
        <f t="shared" si="1"/>
        <v>200</v>
      </c>
    </row>
    <row r="6" ht="15.75" customHeight="1">
      <c r="A6" s="1" t="s">
        <v>19</v>
      </c>
      <c r="B6" s="1" t="s">
        <v>20</v>
      </c>
      <c r="C6" s="1" t="s">
        <v>21</v>
      </c>
      <c r="D6" s="1">
        <v>4.0</v>
      </c>
      <c r="E6" s="1">
        <f t="shared" si="1"/>
        <v>100</v>
      </c>
    </row>
    <row r="7" ht="15.75" customHeight="1">
      <c r="A7" s="1" t="s">
        <v>22</v>
      </c>
      <c r="E7" s="1">
        <f t="shared" si="1"/>
        <v>0</v>
      </c>
    </row>
    <row r="8" ht="15.75" customHeight="1">
      <c r="A8" s="1" t="s">
        <v>23</v>
      </c>
      <c r="E8" s="1">
        <f t="shared" si="1"/>
        <v>0</v>
      </c>
    </row>
    <row r="9" ht="15.75" customHeight="1">
      <c r="A9" s="2" t="s">
        <v>24</v>
      </c>
      <c r="B9" s="2" t="s">
        <v>25</v>
      </c>
      <c r="C9" s="2" t="s">
        <v>27</v>
      </c>
      <c r="D9" s="2">
        <v>3.0</v>
      </c>
      <c r="E9" s="1">
        <f t="shared" si="1"/>
        <v>75</v>
      </c>
    </row>
    <row r="10" ht="15.75" customHeight="1">
      <c r="A10" s="2" t="s">
        <v>29</v>
      </c>
      <c r="E10" s="1">
        <f t="shared" si="1"/>
        <v>0</v>
      </c>
    </row>
    <row r="11" ht="15.75" customHeight="1">
      <c r="A11" s="2" t="s">
        <v>30</v>
      </c>
      <c r="B11" s="2" t="s">
        <v>31</v>
      </c>
      <c r="C11" s="2" t="s">
        <v>32</v>
      </c>
      <c r="D11" s="2">
        <v>4.0</v>
      </c>
      <c r="E11" s="1">
        <f t="shared" si="1"/>
        <v>100</v>
      </c>
    </row>
    <row r="12" ht="15.75" customHeight="1">
      <c r="A12" s="2" t="s">
        <v>35</v>
      </c>
      <c r="B12" s="2" t="s">
        <v>36</v>
      </c>
      <c r="C12" s="2" t="s">
        <v>37</v>
      </c>
      <c r="D12" s="2">
        <v>4.0</v>
      </c>
      <c r="E12" s="1">
        <f t="shared" si="1"/>
        <v>100</v>
      </c>
    </row>
    <row r="13" ht="15.75" customHeight="1">
      <c r="A13" s="2" t="s">
        <v>38</v>
      </c>
      <c r="B13" s="2" t="s">
        <v>39</v>
      </c>
      <c r="E13" s="1">
        <f t="shared" si="1"/>
        <v>0</v>
      </c>
    </row>
    <row r="14" ht="15.75" customHeight="1">
      <c r="A14" s="2" t="s">
        <v>41</v>
      </c>
      <c r="E14" s="1">
        <f t="shared" si="1"/>
        <v>0</v>
      </c>
    </row>
    <row r="15" ht="15.75" customHeight="1">
      <c r="A15" s="2" t="s">
        <v>42</v>
      </c>
      <c r="B15" s="2" t="s">
        <v>43</v>
      </c>
      <c r="C15" s="2" t="s">
        <v>44</v>
      </c>
      <c r="D15" s="2">
        <v>5.0</v>
      </c>
      <c r="E15" s="1">
        <f t="shared" si="1"/>
        <v>125</v>
      </c>
    </row>
    <row r="16" ht="15.75" customHeight="1">
      <c r="A16" s="2" t="s">
        <v>49</v>
      </c>
      <c r="B16" s="2" t="s">
        <v>53</v>
      </c>
      <c r="D16" s="2">
        <v>2.0</v>
      </c>
      <c r="E16" s="1">
        <f t="shared" si="1"/>
        <v>50</v>
      </c>
    </row>
    <row r="17" ht="15.75" customHeight="1">
      <c r="A17" s="2" t="s">
        <v>54</v>
      </c>
      <c r="B17" s="2" t="s">
        <v>57</v>
      </c>
      <c r="C17" s="2" t="s">
        <v>58</v>
      </c>
      <c r="D17" s="2">
        <v>3.0</v>
      </c>
      <c r="E17" s="1">
        <f t="shared" si="1"/>
        <v>75</v>
      </c>
    </row>
    <row r="18" ht="15.75" customHeight="1">
      <c r="A18" s="2" t="s">
        <v>55</v>
      </c>
      <c r="B18" s="2" t="s">
        <v>62</v>
      </c>
      <c r="C18" s="2" t="s">
        <v>65</v>
      </c>
      <c r="D18" s="2">
        <v>3.0</v>
      </c>
      <c r="E18" s="1">
        <f t="shared" si="1"/>
        <v>75</v>
      </c>
    </row>
    <row r="19" ht="15.75" customHeight="1">
      <c r="A19" s="2" t="s">
        <v>60</v>
      </c>
      <c r="B19" s="2" t="s">
        <v>69</v>
      </c>
      <c r="C19" s="2" t="s">
        <v>72</v>
      </c>
      <c r="D19" s="2">
        <v>3.0</v>
      </c>
      <c r="E19" s="1">
        <f t="shared" si="1"/>
        <v>75</v>
      </c>
    </row>
    <row r="20" ht="15.75" customHeight="1">
      <c r="A20" s="2" t="s">
        <v>64</v>
      </c>
      <c r="B20" s="2" t="s">
        <v>66</v>
      </c>
      <c r="D20" s="2">
        <v>3.0</v>
      </c>
      <c r="E20" s="1">
        <f t="shared" si="1"/>
        <v>75</v>
      </c>
    </row>
    <row r="21" ht="15.75" customHeight="1">
      <c r="A21" s="2" t="s">
        <v>68</v>
      </c>
      <c r="B21" s="2" t="s">
        <v>79</v>
      </c>
      <c r="C21" s="2" t="s">
        <v>81</v>
      </c>
      <c r="D21" s="2">
        <v>4.0</v>
      </c>
      <c r="E21" s="1">
        <f t="shared" si="1"/>
        <v>100</v>
      </c>
    </row>
    <row r="22" ht="15.75" customHeight="1">
      <c r="A22" s="2" t="s">
        <v>75</v>
      </c>
      <c r="B22" s="2" t="s">
        <v>85</v>
      </c>
      <c r="C22" s="2" t="s">
        <v>86</v>
      </c>
      <c r="D22" s="2">
        <v>3.0</v>
      </c>
      <c r="E22" s="1">
        <f t="shared" si="1"/>
        <v>75</v>
      </c>
    </row>
    <row r="23" ht="15.75" customHeight="1">
      <c r="A23" s="2" t="s">
        <v>80</v>
      </c>
      <c r="B23" s="2" t="s">
        <v>83</v>
      </c>
      <c r="C23" s="2" t="s">
        <v>93</v>
      </c>
      <c r="D23" s="2">
        <v>3.0</v>
      </c>
      <c r="E23" s="1">
        <f t="shared" si="1"/>
        <v>75</v>
      </c>
    </row>
    <row r="24" ht="15.75" customHeight="1">
      <c r="A24" s="2" t="s">
        <v>84</v>
      </c>
      <c r="B24" s="2" t="s">
        <v>95</v>
      </c>
      <c r="C24" s="2" t="s">
        <v>96</v>
      </c>
      <c r="E24" s="1">
        <f t="shared" si="1"/>
        <v>0</v>
      </c>
    </row>
    <row r="25" ht="15.75" customHeight="1">
      <c r="A25" s="2" t="s">
        <v>87</v>
      </c>
      <c r="E25" s="1">
        <f t="shared" si="1"/>
        <v>0</v>
      </c>
    </row>
    <row r="26" ht="15.75" customHeight="1">
      <c r="A26" s="2" t="s">
        <v>91</v>
      </c>
      <c r="E26" s="1">
        <f t="shared" si="1"/>
        <v>0</v>
      </c>
    </row>
    <row r="27" ht="15.75" customHeight="1">
      <c r="A27" s="2" t="s">
        <v>94</v>
      </c>
      <c r="B27" s="2" t="s">
        <v>39</v>
      </c>
      <c r="D27" s="2">
        <v>3.0</v>
      </c>
      <c r="E27" s="1">
        <f t="shared" si="1"/>
        <v>75</v>
      </c>
    </row>
    <row r="28" ht="15.75" customHeight="1">
      <c r="A28" s="2" t="s">
        <v>99</v>
      </c>
      <c r="E28" s="1">
        <f t="shared" si="1"/>
        <v>0</v>
      </c>
    </row>
    <row r="29" ht="15.75" customHeight="1">
      <c r="A29" s="2" t="s">
        <v>101</v>
      </c>
      <c r="B29" s="2" t="s">
        <v>108</v>
      </c>
      <c r="C29" s="2" t="s">
        <v>109</v>
      </c>
      <c r="D29" s="2">
        <v>4.0</v>
      </c>
      <c r="E29" s="1">
        <f t="shared" si="1"/>
        <v>100</v>
      </c>
    </row>
    <row r="30" ht="15.75" customHeight="1">
      <c r="A30" s="2" t="s">
        <v>110</v>
      </c>
      <c r="B30" s="2" t="s">
        <v>112</v>
      </c>
      <c r="D30" s="2">
        <v>5.0</v>
      </c>
      <c r="E30" s="1">
        <f t="shared" si="1"/>
        <v>125</v>
      </c>
    </row>
    <row r="31" ht="15.75" customHeight="1">
      <c r="A31" s="2" t="s">
        <v>117</v>
      </c>
      <c r="E31" s="1">
        <f t="shared" si="1"/>
        <v>0</v>
      </c>
    </row>
    <row r="32" ht="15.75" customHeight="1">
      <c r="A32" s="2" t="s">
        <v>118</v>
      </c>
      <c r="E32" s="1">
        <f t="shared" si="1"/>
        <v>0</v>
      </c>
    </row>
    <row r="33" ht="15.75" customHeight="1">
      <c r="A33" s="2" t="s">
        <v>119</v>
      </c>
      <c r="B33" s="2" t="s">
        <v>120</v>
      </c>
      <c r="C33" s="2" t="s">
        <v>122</v>
      </c>
      <c r="D33" s="2">
        <v>4.0</v>
      </c>
      <c r="E33" s="1">
        <f t="shared" si="1"/>
        <v>100</v>
      </c>
    </row>
    <row r="34" ht="15.75" customHeight="1">
      <c r="A34" s="2" t="s">
        <v>125</v>
      </c>
      <c r="B34" s="2" t="s">
        <v>127</v>
      </c>
      <c r="D34" s="2">
        <v>1.0</v>
      </c>
      <c r="E34" s="1">
        <f t="shared" si="1"/>
        <v>25</v>
      </c>
    </row>
    <row r="35" ht="15.75" customHeight="1">
      <c r="A35" s="2" t="s">
        <v>129</v>
      </c>
      <c r="B35" s="2" t="s">
        <v>131</v>
      </c>
      <c r="C35" s="2" t="s">
        <v>133</v>
      </c>
      <c r="D35" s="2">
        <v>4.0</v>
      </c>
      <c r="E35" s="1">
        <f t="shared" si="1"/>
        <v>100</v>
      </c>
    </row>
    <row r="36" ht="15.75" customHeight="1">
      <c r="A36" s="2" t="s">
        <v>138</v>
      </c>
      <c r="E36" s="1">
        <f t="shared" si="1"/>
        <v>0</v>
      </c>
    </row>
    <row r="37" ht="15.75" customHeight="1">
      <c r="A37" s="2" t="s">
        <v>140</v>
      </c>
      <c r="B37" s="2" t="s">
        <v>141</v>
      </c>
      <c r="D37" s="2">
        <v>1.0</v>
      </c>
      <c r="E37" s="1">
        <f t="shared" si="1"/>
        <v>25</v>
      </c>
    </row>
    <row r="38" ht="15.75" customHeight="1">
      <c r="A38" s="2" t="s">
        <v>145</v>
      </c>
      <c r="E38" s="1">
        <f t="shared" si="1"/>
        <v>0</v>
      </c>
    </row>
    <row r="39" ht="15.75" customHeight="1">
      <c r="A39" s="2" t="s">
        <v>148</v>
      </c>
      <c r="E39" s="1">
        <f t="shared" si="1"/>
        <v>0</v>
      </c>
    </row>
    <row r="40" ht="15.75" customHeight="1">
      <c r="A40" s="2" t="s">
        <v>146</v>
      </c>
      <c r="B40" s="2" t="s">
        <v>152</v>
      </c>
      <c r="C40" s="2" t="s">
        <v>153</v>
      </c>
      <c r="D40" s="2">
        <v>3.0</v>
      </c>
      <c r="E40" s="1">
        <f t="shared" si="1"/>
        <v>75</v>
      </c>
    </row>
    <row r="41" ht="15.75" customHeight="1">
      <c r="A41" s="2" t="s">
        <v>151</v>
      </c>
      <c r="B41" s="2" t="s">
        <v>155</v>
      </c>
      <c r="C41" s="2"/>
      <c r="D41" s="2">
        <v>1.0</v>
      </c>
      <c r="E41" s="1">
        <f t="shared" si="1"/>
        <v>25</v>
      </c>
    </row>
    <row r="42" ht="15.75" customHeight="1">
      <c r="A42" s="2" t="s">
        <v>154</v>
      </c>
      <c r="B42" s="2" t="s">
        <v>161</v>
      </c>
      <c r="D42" s="2">
        <v>6.0</v>
      </c>
      <c r="E42" s="1">
        <f t="shared" si="1"/>
        <v>150</v>
      </c>
    </row>
    <row r="43" ht="15.75" customHeight="1">
      <c r="A43" s="2" t="s">
        <v>156</v>
      </c>
      <c r="B43" s="2" t="s">
        <v>161</v>
      </c>
      <c r="D43" s="2">
        <v>6.0</v>
      </c>
      <c r="E43" s="1">
        <f t="shared" si="1"/>
        <v>150</v>
      </c>
    </row>
    <row r="44" ht="15.75" customHeight="1">
      <c r="A44" s="2" t="s">
        <v>160</v>
      </c>
      <c r="B44" s="2" t="s">
        <v>163</v>
      </c>
      <c r="E44" s="1">
        <f t="shared" si="1"/>
        <v>0</v>
      </c>
    </row>
    <row r="45" ht="15.75" customHeight="1">
      <c r="A45" s="2" t="s">
        <v>169</v>
      </c>
      <c r="E45" s="1">
        <f t="shared" si="1"/>
        <v>0</v>
      </c>
    </row>
    <row r="46" ht="15.75" customHeight="1">
      <c r="A46" s="2" t="s">
        <v>171</v>
      </c>
      <c r="B46" s="2" t="s">
        <v>172</v>
      </c>
      <c r="C46" s="2" t="s">
        <v>173</v>
      </c>
      <c r="D46" s="2">
        <v>3.0</v>
      </c>
      <c r="E46" s="1">
        <f t="shared" si="1"/>
        <v>75</v>
      </c>
    </row>
    <row r="47" ht="15.75" customHeight="1">
      <c r="A47" s="2" t="s">
        <v>176</v>
      </c>
      <c r="B47" s="2" t="s">
        <v>177</v>
      </c>
      <c r="D47" s="2">
        <v>6.0</v>
      </c>
      <c r="E47" s="1">
        <f t="shared" si="1"/>
        <v>150</v>
      </c>
    </row>
    <row r="48" ht="15.75" customHeight="1">
      <c r="A48" s="2" t="s">
        <v>181</v>
      </c>
      <c r="B48" s="2" t="s">
        <v>127</v>
      </c>
      <c r="D48" s="2">
        <v>1.0</v>
      </c>
      <c r="E48" s="1">
        <f t="shared" si="1"/>
        <v>25</v>
      </c>
    </row>
    <row r="49" ht="15.75" customHeight="1">
      <c r="A49" s="2" t="s">
        <v>186</v>
      </c>
      <c r="E49" s="1">
        <f t="shared" si="1"/>
        <v>0</v>
      </c>
    </row>
    <row r="50" ht="15.75" customHeight="1">
      <c r="A50" s="2" t="s">
        <v>187</v>
      </c>
      <c r="E50" s="1">
        <f t="shared" si="1"/>
        <v>0</v>
      </c>
    </row>
    <row r="51" ht="15.75" customHeight="1">
      <c r="A51" s="2" t="s">
        <v>191</v>
      </c>
      <c r="B51" s="2" t="s">
        <v>53</v>
      </c>
      <c r="D51" s="2">
        <v>1.0</v>
      </c>
      <c r="E51" s="1">
        <f t="shared" si="1"/>
        <v>25</v>
      </c>
    </row>
    <row r="52" ht="15.75" customHeight="1">
      <c r="A52" s="2" t="s">
        <v>196</v>
      </c>
      <c r="E52" s="1">
        <f t="shared" si="1"/>
        <v>0</v>
      </c>
    </row>
    <row r="53" ht="15.75" customHeight="1">
      <c r="A53" s="2" t="s">
        <v>198</v>
      </c>
      <c r="E53" s="1">
        <f t="shared" si="1"/>
        <v>0</v>
      </c>
    </row>
    <row r="54" ht="15.75" customHeight="1">
      <c r="A54" s="2" t="s">
        <v>200</v>
      </c>
      <c r="E54" s="1">
        <f t="shared" si="1"/>
        <v>0</v>
      </c>
    </row>
    <row r="55" ht="15.75" customHeight="1">
      <c r="A55" s="2" t="s">
        <v>202</v>
      </c>
      <c r="B55" s="2" t="s">
        <v>155</v>
      </c>
      <c r="D55" s="2">
        <v>1.0</v>
      </c>
      <c r="E55" s="1">
        <f t="shared" si="1"/>
        <v>25</v>
      </c>
    </row>
    <row r="56" ht="15.75" customHeight="1">
      <c r="A56" s="2" t="s">
        <v>204</v>
      </c>
      <c r="B56" s="2" t="s">
        <v>205</v>
      </c>
      <c r="C56" s="2" t="s">
        <v>207</v>
      </c>
      <c r="D56" s="2">
        <v>4.0</v>
      </c>
      <c r="E56" s="1">
        <f t="shared" si="1"/>
        <v>100</v>
      </c>
    </row>
    <row r="57" ht="15.75" customHeight="1">
      <c r="A57" s="2" t="s">
        <v>209</v>
      </c>
      <c r="B57" s="2" t="s">
        <v>205</v>
      </c>
      <c r="C57" s="2" t="s">
        <v>207</v>
      </c>
      <c r="D57" s="2">
        <v>4.0</v>
      </c>
      <c r="E57" s="1">
        <f t="shared" si="1"/>
        <v>100</v>
      </c>
    </row>
    <row r="58" ht="15.75" customHeight="1">
      <c r="A58" s="2" t="s">
        <v>214</v>
      </c>
      <c r="B58" s="2" t="s">
        <v>215</v>
      </c>
      <c r="D58" s="2">
        <v>4.0</v>
      </c>
      <c r="E58" s="1">
        <f t="shared" si="1"/>
        <v>100</v>
      </c>
    </row>
    <row r="59" ht="15.75" customHeight="1">
      <c r="A59" s="2" t="s">
        <v>220</v>
      </c>
      <c r="B59" s="2" t="s">
        <v>222</v>
      </c>
      <c r="D59" s="2">
        <v>3.0</v>
      </c>
      <c r="E59" s="1">
        <f t="shared" si="1"/>
        <v>75</v>
      </c>
    </row>
    <row r="60" ht="15.75" customHeight="1">
      <c r="A60" s="2" t="s">
        <v>226</v>
      </c>
      <c r="E60" s="1">
        <f t="shared" si="1"/>
        <v>0</v>
      </c>
    </row>
    <row r="61" ht="15.75" customHeight="1">
      <c r="A61" s="2" t="s">
        <v>229</v>
      </c>
      <c r="B61" s="2" t="s">
        <v>230</v>
      </c>
      <c r="C61" s="2" t="s">
        <v>232</v>
      </c>
      <c r="D61" s="2">
        <v>2.0</v>
      </c>
      <c r="E61" s="1">
        <f t="shared" si="1"/>
        <v>50</v>
      </c>
    </row>
    <row r="62" ht="15.75" customHeight="1">
      <c r="A62" s="2" t="s">
        <v>237</v>
      </c>
      <c r="B62" s="2" t="s">
        <v>155</v>
      </c>
      <c r="D62" s="2">
        <v>1.0</v>
      </c>
      <c r="E62" s="1">
        <f t="shared" si="1"/>
        <v>25</v>
      </c>
    </row>
    <row r="63" ht="15.75" customHeight="1">
      <c r="A63" s="2" t="s">
        <v>243</v>
      </c>
      <c r="B63" s="2" t="s">
        <v>245</v>
      </c>
      <c r="C63" s="2" t="s">
        <v>246</v>
      </c>
      <c r="D63" s="2">
        <v>3.0</v>
      </c>
      <c r="E63" s="1">
        <f t="shared" si="1"/>
        <v>75</v>
      </c>
    </row>
    <row r="64" ht="15.75" customHeight="1">
      <c r="A64" s="2" t="s">
        <v>249</v>
      </c>
      <c r="B64" s="2" t="s">
        <v>251</v>
      </c>
      <c r="C64" s="2" t="s">
        <v>252</v>
      </c>
      <c r="D64" s="2">
        <v>2.0</v>
      </c>
      <c r="E64" s="1">
        <f t="shared" si="1"/>
        <v>50</v>
      </c>
    </row>
    <row r="65" ht="15.75" customHeight="1">
      <c r="A65" s="2" t="s">
        <v>258</v>
      </c>
      <c r="B65" s="2" t="s">
        <v>260</v>
      </c>
      <c r="C65" s="2" t="s">
        <v>262</v>
      </c>
      <c r="D65" s="2">
        <v>2.0</v>
      </c>
      <c r="E65" s="1">
        <f t="shared" si="1"/>
        <v>50</v>
      </c>
    </row>
    <row r="66" ht="15.75" customHeight="1">
      <c r="A66" s="2" t="s">
        <v>264</v>
      </c>
      <c r="B66" s="2" t="s">
        <v>266</v>
      </c>
      <c r="C66" s="2" t="s">
        <v>268</v>
      </c>
      <c r="D66" s="2">
        <v>4.0</v>
      </c>
      <c r="E66" s="1">
        <f t="shared" si="1"/>
        <v>100</v>
      </c>
    </row>
    <row r="67" ht="15.75" customHeight="1">
      <c r="A67" s="2" t="s">
        <v>273</v>
      </c>
      <c r="B67" s="2" t="s">
        <v>266</v>
      </c>
      <c r="C67" s="2" t="s">
        <v>275</v>
      </c>
      <c r="D67" s="2">
        <v>4.0</v>
      </c>
      <c r="E67" s="1">
        <f t="shared" si="1"/>
        <v>100</v>
      </c>
    </row>
    <row r="68" ht="15.75" customHeight="1">
      <c r="A68" s="2" t="s">
        <v>238</v>
      </c>
      <c r="B68" s="2" t="s">
        <v>266</v>
      </c>
      <c r="C68" s="2" t="s">
        <v>278</v>
      </c>
      <c r="D68" s="2">
        <v>4.0</v>
      </c>
      <c r="E68" s="1">
        <f t="shared" si="1"/>
        <v>100</v>
      </c>
    </row>
    <row r="69" ht="15.75" customHeight="1">
      <c r="A69" s="2" t="s">
        <v>280</v>
      </c>
      <c r="B69" s="2" t="s">
        <v>282</v>
      </c>
      <c r="C69" s="2" t="s">
        <v>283</v>
      </c>
      <c r="D69" s="2">
        <v>6.0</v>
      </c>
      <c r="E69" s="1">
        <f t="shared" si="1"/>
        <v>150</v>
      </c>
    </row>
    <row r="70" ht="15.75" customHeight="1">
      <c r="A70" s="2" t="s">
        <v>255</v>
      </c>
      <c r="B70" s="2" t="s">
        <v>286</v>
      </c>
      <c r="C70" s="2" t="s">
        <v>288</v>
      </c>
      <c r="D70" s="2">
        <v>6.0</v>
      </c>
      <c r="E70" s="1">
        <f t="shared" si="1"/>
        <v>150</v>
      </c>
    </row>
    <row r="71" ht="15.75" customHeight="1">
      <c r="A71" s="2" t="s">
        <v>281</v>
      </c>
      <c r="B71" s="2" t="s">
        <v>289</v>
      </c>
      <c r="D71" s="2">
        <v>1.0</v>
      </c>
      <c r="E71" s="1">
        <f t="shared" si="1"/>
        <v>25</v>
      </c>
    </row>
    <row r="72" ht="15.75" customHeight="1">
      <c r="A72" s="2" t="s">
        <v>284</v>
      </c>
      <c r="E72" s="1">
        <f t="shared" si="1"/>
        <v>0</v>
      </c>
    </row>
    <row r="73" ht="15.75" customHeight="1">
      <c r="A73" s="9">
        <v>46235.0</v>
      </c>
      <c r="E73" s="1">
        <f t="shared" si="1"/>
        <v>0</v>
      </c>
    </row>
    <row r="74" ht="15.75" customHeight="1">
      <c r="A74" s="9">
        <v>46236.0</v>
      </c>
      <c r="E74" s="1">
        <f t="shared" si="1"/>
        <v>0</v>
      </c>
    </row>
    <row r="75" ht="15.75" customHeight="1">
      <c r="A75" s="9">
        <v>46237.0</v>
      </c>
      <c r="B75" s="2" t="s">
        <v>296</v>
      </c>
      <c r="C75" s="2" t="s">
        <v>297</v>
      </c>
      <c r="D75" s="2">
        <v>4.0</v>
      </c>
      <c r="E75" s="1">
        <f t="shared" si="1"/>
        <v>100</v>
      </c>
    </row>
    <row r="76" ht="15.75" customHeight="1">
      <c r="A76" s="9">
        <v>46238.0</v>
      </c>
      <c r="E76" s="1">
        <f t="shared" si="1"/>
        <v>0</v>
      </c>
    </row>
    <row r="77" ht="15.75" customHeight="1">
      <c r="A77" s="9">
        <v>46239.0</v>
      </c>
      <c r="E77" s="1">
        <f t="shared" si="1"/>
        <v>0</v>
      </c>
    </row>
    <row r="78" ht="15.75" customHeight="1">
      <c r="A78" s="9">
        <v>46240.0</v>
      </c>
      <c r="E78" s="1">
        <f t="shared" si="1"/>
        <v>0</v>
      </c>
    </row>
    <row r="79" ht="15.75" customHeight="1">
      <c r="A79" s="9">
        <v>46241.0</v>
      </c>
      <c r="E79" s="1">
        <f t="shared" si="1"/>
        <v>0</v>
      </c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9.44"/>
    <col customWidth="1" min="3" max="3" width="49.0"/>
    <col customWidth="1" min="4" max="5" width="8.33"/>
    <col customWidth="1" min="6" max="6" width="10.44"/>
    <col customWidth="1" min="7" max="7" width="10.0"/>
    <col customWidth="1" min="8" max="26" width="8.33"/>
  </cols>
  <sheetData>
    <row r="1" ht="15.75" customHeight="1">
      <c r="A1" s="3" t="s">
        <v>0</v>
      </c>
      <c r="B1" s="4" t="s">
        <v>11</v>
      </c>
      <c r="C1" s="3" t="s">
        <v>3</v>
      </c>
      <c r="D1" s="3" t="s">
        <v>5</v>
      </c>
      <c r="E1" s="2" t="s">
        <v>6</v>
      </c>
      <c r="F1" s="2" t="s">
        <v>7</v>
      </c>
      <c r="G1" s="2" t="s">
        <v>8</v>
      </c>
    </row>
    <row r="2" ht="15.75" customHeight="1">
      <c r="A2" s="3" t="s">
        <v>9</v>
      </c>
      <c r="B2" s="3" t="s">
        <v>10</v>
      </c>
      <c r="C2" s="3" t="s">
        <v>10</v>
      </c>
      <c r="D2" s="3">
        <v>8.0</v>
      </c>
      <c r="E2" s="1">
        <f t="shared" ref="E2:E49" si="1"> 25*D2</f>
        <v>200</v>
      </c>
      <c r="F2" s="1">
        <f>SUM(D2:D49)</f>
        <v>151</v>
      </c>
      <c r="G2" s="1">
        <f>F2*25</f>
        <v>3775</v>
      </c>
    </row>
    <row r="3" ht="15.75" customHeight="1">
      <c r="A3" s="3" t="s">
        <v>12</v>
      </c>
      <c r="B3" s="3" t="s">
        <v>13</v>
      </c>
      <c r="C3" s="3" t="s">
        <v>14</v>
      </c>
      <c r="D3" s="3">
        <v>8.0</v>
      </c>
      <c r="E3" s="1">
        <f t="shared" si="1"/>
        <v>200</v>
      </c>
    </row>
    <row r="4" ht="15.75" customHeight="1">
      <c r="A4" s="3" t="s">
        <v>15</v>
      </c>
      <c r="B4" s="3" t="s">
        <v>13</v>
      </c>
      <c r="C4" s="3" t="s">
        <v>14</v>
      </c>
      <c r="D4" s="3">
        <v>8.0</v>
      </c>
      <c r="E4" s="1">
        <f t="shared" si="1"/>
        <v>200</v>
      </c>
    </row>
    <row r="5" ht="15.75" customHeight="1">
      <c r="A5" s="3" t="s">
        <v>17</v>
      </c>
      <c r="B5" s="3" t="s">
        <v>13</v>
      </c>
      <c r="C5" s="3" t="s">
        <v>18</v>
      </c>
      <c r="D5" s="3">
        <v>8.0</v>
      </c>
      <c r="E5" s="1">
        <f t="shared" si="1"/>
        <v>200</v>
      </c>
    </row>
    <row r="6" ht="15.75" customHeight="1">
      <c r="A6" s="3" t="s">
        <v>19</v>
      </c>
      <c r="B6" s="3" t="s">
        <v>20</v>
      </c>
      <c r="C6" s="3" t="s">
        <v>21</v>
      </c>
      <c r="D6" s="3">
        <v>4.0</v>
      </c>
      <c r="E6" s="1">
        <f t="shared" si="1"/>
        <v>100</v>
      </c>
    </row>
    <row r="7" ht="15.75" customHeight="1">
      <c r="A7" s="3"/>
      <c r="B7" s="3" t="s">
        <v>45</v>
      </c>
      <c r="C7" s="3" t="s">
        <v>46</v>
      </c>
      <c r="D7" s="3">
        <v>2.0</v>
      </c>
      <c r="E7" s="1">
        <f t="shared" si="1"/>
        <v>50</v>
      </c>
    </row>
    <row r="8" ht="15.75" customHeight="1">
      <c r="A8" s="3"/>
      <c r="B8" s="3" t="s">
        <v>50</v>
      </c>
      <c r="C8" s="3" t="s">
        <v>51</v>
      </c>
      <c r="D8" s="3">
        <v>2.0</v>
      </c>
      <c r="E8" s="1">
        <f t="shared" si="1"/>
        <v>50</v>
      </c>
    </row>
    <row r="9" ht="15.75" customHeight="1">
      <c r="A9" s="3" t="s">
        <v>22</v>
      </c>
      <c r="B9" s="3"/>
      <c r="C9" s="3"/>
      <c r="D9" s="3"/>
      <c r="E9" s="1">
        <f t="shared" si="1"/>
        <v>0</v>
      </c>
    </row>
    <row r="10" ht="15.75" customHeight="1">
      <c r="A10" s="3" t="s">
        <v>23</v>
      </c>
      <c r="B10" s="3"/>
      <c r="C10" s="3"/>
      <c r="D10" s="3"/>
      <c r="E10" s="1">
        <f t="shared" si="1"/>
        <v>0</v>
      </c>
    </row>
    <row r="11" ht="15.75" customHeight="1">
      <c r="A11" s="4" t="s">
        <v>59</v>
      </c>
      <c r="B11" s="4" t="s">
        <v>61</v>
      </c>
      <c r="C11" s="4" t="s">
        <v>63</v>
      </c>
      <c r="D11" s="4">
        <v>3.0</v>
      </c>
      <c r="E11" s="1">
        <f t="shared" si="1"/>
        <v>75</v>
      </c>
    </row>
    <row r="12" ht="15.75" customHeight="1">
      <c r="A12" s="3"/>
      <c r="B12" s="4" t="s">
        <v>67</v>
      </c>
      <c r="C12" s="4" t="s">
        <v>70</v>
      </c>
      <c r="D12" s="4">
        <v>1.0</v>
      </c>
      <c r="E12" s="1">
        <f t="shared" si="1"/>
        <v>25</v>
      </c>
    </row>
    <row r="13" ht="15.75" customHeight="1">
      <c r="A13" s="3"/>
      <c r="B13" s="4" t="s">
        <v>74</v>
      </c>
      <c r="C13" s="4" t="s">
        <v>76</v>
      </c>
      <c r="D13" s="4">
        <v>2.0</v>
      </c>
      <c r="E13" s="1">
        <f t="shared" si="1"/>
        <v>50</v>
      </c>
    </row>
    <row r="14" ht="15.75" customHeight="1">
      <c r="A14" s="4" t="s">
        <v>78</v>
      </c>
      <c r="B14" s="4" t="s">
        <v>82</v>
      </c>
      <c r="C14" s="4" t="s">
        <v>82</v>
      </c>
      <c r="D14" s="4">
        <v>2.0</v>
      </c>
      <c r="E14" s="1">
        <f t="shared" si="1"/>
        <v>50</v>
      </c>
    </row>
    <row r="15" ht="33.0" customHeight="1">
      <c r="A15" s="4"/>
      <c r="B15" s="4" t="s">
        <v>90</v>
      </c>
      <c r="C15" s="4" t="s">
        <v>92</v>
      </c>
      <c r="D15" s="4">
        <v>3.0</v>
      </c>
      <c r="E15" s="1">
        <f t="shared" si="1"/>
        <v>75</v>
      </c>
    </row>
    <row r="16" ht="15.75" customHeight="1">
      <c r="A16" s="4" t="s">
        <v>24</v>
      </c>
      <c r="B16" s="4" t="s">
        <v>25</v>
      </c>
      <c r="C16" s="4" t="s">
        <v>27</v>
      </c>
      <c r="D16" s="4">
        <v>3.0</v>
      </c>
      <c r="E16" s="1">
        <f t="shared" si="1"/>
        <v>75</v>
      </c>
    </row>
    <row r="17" ht="15.75" customHeight="1">
      <c r="A17" s="4" t="s">
        <v>35</v>
      </c>
      <c r="B17" s="4" t="s">
        <v>97</v>
      </c>
      <c r="C17" s="4" t="s">
        <v>98</v>
      </c>
      <c r="D17" s="4">
        <v>1.0</v>
      </c>
      <c r="E17" s="1">
        <f t="shared" si="1"/>
        <v>25</v>
      </c>
    </row>
    <row r="18" ht="15.75" customHeight="1">
      <c r="B18" s="2" t="s">
        <v>100</v>
      </c>
      <c r="C18" s="2" t="s">
        <v>102</v>
      </c>
      <c r="D18" s="2">
        <v>2.0</v>
      </c>
      <c r="E18" s="1">
        <f t="shared" si="1"/>
        <v>50</v>
      </c>
    </row>
    <row r="19" ht="15.75" customHeight="1">
      <c r="B19" s="2" t="s">
        <v>105</v>
      </c>
      <c r="C19" s="2" t="s">
        <v>107</v>
      </c>
      <c r="D19" s="2">
        <v>2.0</v>
      </c>
      <c r="E19" s="1">
        <f t="shared" si="1"/>
        <v>50</v>
      </c>
    </row>
    <row r="20" ht="15.75" customHeight="1">
      <c r="A20" s="2" t="s">
        <v>38</v>
      </c>
      <c r="B20" s="2" t="s">
        <v>105</v>
      </c>
      <c r="C20" s="2" t="s">
        <v>107</v>
      </c>
      <c r="D20" s="2">
        <v>7.0</v>
      </c>
      <c r="E20" s="1">
        <f t="shared" si="1"/>
        <v>175</v>
      </c>
    </row>
    <row r="21" ht="15.75" customHeight="1">
      <c r="B21" s="4" t="s">
        <v>90</v>
      </c>
      <c r="C21" s="4" t="s">
        <v>123</v>
      </c>
      <c r="D21" s="2">
        <v>2.0</v>
      </c>
      <c r="E21" s="1">
        <f t="shared" si="1"/>
        <v>50</v>
      </c>
    </row>
    <row r="22" ht="15.75" customHeight="1">
      <c r="A22" s="2" t="s">
        <v>42</v>
      </c>
      <c r="B22" s="2" t="s">
        <v>128</v>
      </c>
      <c r="C22" s="2" t="s">
        <v>130</v>
      </c>
      <c r="D22" s="2">
        <v>4.0</v>
      </c>
      <c r="E22" s="1">
        <f t="shared" si="1"/>
        <v>100</v>
      </c>
    </row>
    <row r="23" ht="15.75" customHeight="1">
      <c r="B23" s="2" t="s">
        <v>135</v>
      </c>
      <c r="C23" s="2" t="s">
        <v>136</v>
      </c>
      <c r="D23" s="2">
        <v>3.0</v>
      </c>
      <c r="E23" s="1">
        <f t="shared" si="1"/>
        <v>75</v>
      </c>
    </row>
    <row r="24" ht="15.75" customHeight="1">
      <c r="A24" s="2" t="s">
        <v>49</v>
      </c>
      <c r="B24" s="2" t="s">
        <v>142</v>
      </c>
      <c r="C24" s="4" t="s">
        <v>143</v>
      </c>
      <c r="D24" s="2">
        <v>1.0</v>
      </c>
      <c r="E24" s="1">
        <f t="shared" si="1"/>
        <v>25</v>
      </c>
    </row>
    <row r="25" ht="15.75" customHeight="1">
      <c r="A25" s="2" t="s">
        <v>60</v>
      </c>
      <c r="B25" s="4" t="s">
        <v>149</v>
      </c>
      <c r="C25" s="4" t="s">
        <v>150</v>
      </c>
      <c r="D25" s="2">
        <v>5.0</v>
      </c>
      <c r="E25" s="1">
        <f t="shared" si="1"/>
        <v>125</v>
      </c>
    </row>
    <row r="26" ht="15.75" customHeight="1">
      <c r="A26" s="2" t="s">
        <v>64</v>
      </c>
      <c r="B26" s="2" t="s">
        <v>66</v>
      </c>
      <c r="D26" s="2">
        <v>3.0</v>
      </c>
      <c r="E26" s="1">
        <f t="shared" si="1"/>
        <v>75</v>
      </c>
    </row>
    <row r="27" ht="15.75" customHeight="1">
      <c r="A27" s="2" t="s">
        <v>68</v>
      </c>
      <c r="B27" s="2" t="s">
        <v>157</v>
      </c>
      <c r="C27" s="2" t="s">
        <v>159</v>
      </c>
      <c r="D27" s="2">
        <v>2.0</v>
      </c>
      <c r="E27" s="1">
        <f t="shared" si="1"/>
        <v>50</v>
      </c>
    </row>
    <row r="28" ht="15.75" customHeight="1">
      <c r="A28" s="2" t="s">
        <v>91</v>
      </c>
      <c r="B28" s="2" t="s">
        <v>163</v>
      </c>
      <c r="C28" s="2" t="s">
        <v>164</v>
      </c>
      <c r="D28" s="2">
        <v>4.0</v>
      </c>
      <c r="E28" s="1">
        <f t="shared" si="1"/>
        <v>100</v>
      </c>
    </row>
    <row r="29" ht="15.75" customHeight="1">
      <c r="A29" s="2" t="s">
        <v>99</v>
      </c>
      <c r="B29" s="2" t="s">
        <v>163</v>
      </c>
      <c r="C29" s="2" t="s">
        <v>164</v>
      </c>
      <c r="D29" s="2">
        <v>4.0</v>
      </c>
      <c r="E29" s="1">
        <f t="shared" si="1"/>
        <v>100</v>
      </c>
    </row>
    <row r="30" ht="15.75" customHeight="1">
      <c r="A30" s="2" t="s">
        <v>101</v>
      </c>
      <c r="B30" s="2" t="s">
        <v>163</v>
      </c>
      <c r="C30" s="2" t="s">
        <v>164</v>
      </c>
      <c r="D30" s="2">
        <v>1.0</v>
      </c>
      <c r="E30" s="1">
        <f t="shared" si="1"/>
        <v>25</v>
      </c>
    </row>
    <row r="31" ht="15.75" customHeight="1">
      <c r="A31" s="2" t="s">
        <v>110</v>
      </c>
      <c r="B31" s="4" t="s">
        <v>179</v>
      </c>
      <c r="C31" s="2" t="s">
        <v>164</v>
      </c>
      <c r="D31" s="2">
        <v>4.0</v>
      </c>
      <c r="E31" s="1">
        <f t="shared" si="1"/>
        <v>100</v>
      </c>
    </row>
    <row r="32" ht="15.75" customHeight="1">
      <c r="A32" s="2" t="s">
        <v>138</v>
      </c>
      <c r="B32" s="2" t="s">
        <v>183</v>
      </c>
      <c r="C32" s="2" t="s">
        <v>185</v>
      </c>
      <c r="D32" s="2">
        <v>1.0</v>
      </c>
      <c r="E32" s="1">
        <f t="shared" si="1"/>
        <v>25</v>
      </c>
    </row>
    <row r="33" ht="15.75" customHeight="1">
      <c r="A33" s="2" t="s">
        <v>188</v>
      </c>
      <c r="B33" s="4" t="s">
        <v>190</v>
      </c>
      <c r="C33" s="2" t="s">
        <v>185</v>
      </c>
      <c r="D33" s="2">
        <v>4.0</v>
      </c>
      <c r="E33" s="1">
        <f t="shared" si="1"/>
        <v>100</v>
      </c>
    </row>
    <row r="34" ht="15.75" customHeight="1">
      <c r="A34" s="2" t="s">
        <v>194</v>
      </c>
      <c r="B34" s="2" t="s">
        <v>199</v>
      </c>
      <c r="C34" s="2" t="s">
        <v>185</v>
      </c>
      <c r="D34" s="2">
        <v>1.0</v>
      </c>
      <c r="E34" s="1">
        <f t="shared" si="1"/>
        <v>25</v>
      </c>
    </row>
    <row r="35" ht="15.75" customHeight="1">
      <c r="A35" s="6">
        <v>46206.0</v>
      </c>
      <c r="B35" s="2" t="s">
        <v>212</v>
      </c>
      <c r="C35" s="2" t="s">
        <v>213</v>
      </c>
      <c r="D35" s="2">
        <v>5.0</v>
      </c>
      <c r="E35" s="1">
        <f t="shared" si="1"/>
        <v>125</v>
      </c>
    </row>
    <row r="36" ht="15.75" customHeight="1">
      <c r="A36" s="2" t="s">
        <v>218</v>
      </c>
      <c r="B36" s="2" t="s">
        <v>219</v>
      </c>
      <c r="C36" s="2" t="s">
        <v>221</v>
      </c>
      <c r="D36" s="2">
        <v>2.0</v>
      </c>
      <c r="E36" s="1">
        <f t="shared" si="1"/>
        <v>50</v>
      </c>
    </row>
    <row r="37" ht="15.75" customHeight="1">
      <c r="A37" s="2" t="s">
        <v>224</v>
      </c>
      <c r="B37" s="2" t="s">
        <v>227</v>
      </c>
      <c r="C37" s="2" t="s">
        <v>228</v>
      </c>
      <c r="D37" s="2">
        <v>2.0</v>
      </c>
      <c r="E37" s="1">
        <f t="shared" si="1"/>
        <v>50</v>
      </c>
    </row>
    <row r="38" ht="15.75" customHeight="1">
      <c r="A38" s="2" t="s">
        <v>234</v>
      </c>
      <c r="B38" s="2" t="s">
        <v>235</v>
      </c>
      <c r="C38" s="2" t="s">
        <v>236</v>
      </c>
      <c r="D38" s="2">
        <v>4.0</v>
      </c>
      <c r="E38" s="1">
        <f t="shared" si="1"/>
        <v>100</v>
      </c>
    </row>
    <row r="39" ht="15.75" customHeight="1">
      <c r="A39" s="2" t="s">
        <v>239</v>
      </c>
      <c r="B39" s="2" t="s">
        <v>240</v>
      </c>
      <c r="C39" s="2" t="s">
        <v>244</v>
      </c>
      <c r="D39" s="2">
        <v>4.0</v>
      </c>
      <c r="E39" s="1">
        <f t="shared" si="1"/>
        <v>100</v>
      </c>
    </row>
    <row r="40" ht="15.75" customHeight="1">
      <c r="A40" s="2" t="s">
        <v>247</v>
      </c>
      <c r="B40" s="4" t="s">
        <v>248</v>
      </c>
      <c r="C40" s="2" t="s">
        <v>250</v>
      </c>
      <c r="D40" s="2">
        <v>7.0</v>
      </c>
      <c r="E40" s="1">
        <f t="shared" si="1"/>
        <v>175</v>
      </c>
    </row>
    <row r="41" ht="15.75" customHeight="1">
      <c r="A41" s="2" t="s">
        <v>256</v>
      </c>
      <c r="B41" s="2" t="s">
        <v>257</v>
      </c>
      <c r="C41" s="2" t="s">
        <v>261</v>
      </c>
      <c r="D41" s="2">
        <v>3.0</v>
      </c>
      <c r="E41" s="1">
        <f t="shared" si="1"/>
        <v>75</v>
      </c>
    </row>
    <row r="42" ht="15.75" customHeight="1">
      <c r="A42" s="2" t="s">
        <v>263</v>
      </c>
      <c r="B42" s="2" t="s">
        <v>265</v>
      </c>
      <c r="C42" s="2" t="s">
        <v>267</v>
      </c>
      <c r="D42" s="2">
        <v>1.0</v>
      </c>
      <c r="E42" s="1">
        <f t="shared" si="1"/>
        <v>25</v>
      </c>
    </row>
    <row r="43" ht="15.75" customHeight="1">
      <c r="A43" s="2" t="s">
        <v>272</v>
      </c>
      <c r="B43" s="4" t="s">
        <v>274</v>
      </c>
      <c r="C43" s="2" t="s">
        <v>185</v>
      </c>
      <c r="D43" s="2">
        <v>2.0</v>
      </c>
      <c r="E43" s="1">
        <f t="shared" si="1"/>
        <v>50</v>
      </c>
    </row>
    <row r="44" ht="15.75" customHeight="1">
      <c r="A44" s="2" t="s">
        <v>238</v>
      </c>
      <c r="B44" s="2" t="s">
        <v>241</v>
      </c>
      <c r="C44" s="2" t="s">
        <v>242</v>
      </c>
      <c r="D44" s="2">
        <v>4.0</v>
      </c>
      <c r="E44" s="1">
        <f t="shared" si="1"/>
        <v>100</v>
      </c>
    </row>
    <row r="45" ht="15.75" customHeight="1">
      <c r="A45" s="2" t="s">
        <v>281</v>
      </c>
      <c r="B45" s="2" t="s">
        <v>97</v>
      </c>
      <c r="C45" s="2" t="s">
        <v>259</v>
      </c>
      <c r="D45" s="2">
        <v>3.0</v>
      </c>
      <c r="E45" s="1">
        <f t="shared" si="1"/>
        <v>75</v>
      </c>
    </row>
    <row r="46" ht="15.75" customHeight="1">
      <c r="A46" s="2" t="s">
        <v>284</v>
      </c>
      <c r="B46" s="2" t="s">
        <v>287</v>
      </c>
      <c r="C46" s="2" t="s">
        <v>287</v>
      </c>
      <c r="D46" s="2">
        <v>1.0</v>
      </c>
      <c r="E46" s="1">
        <f t="shared" si="1"/>
        <v>25</v>
      </c>
    </row>
    <row r="47" ht="15.75" customHeight="1">
      <c r="A47" s="8">
        <v>46237.0</v>
      </c>
      <c r="B47" s="2" t="s">
        <v>290</v>
      </c>
      <c r="C47" s="2" t="s">
        <v>291</v>
      </c>
      <c r="D47" s="2">
        <v>2.0</v>
      </c>
      <c r="E47" s="1">
        <f t="shared" si="1"/>
        <v>50</v>
      </c>
    </row>
    <row r="48" ht="15.75" customHeight="1">
      <c r="A48" s="8">
        <v>46238.0</v>
      </c>
      <c r="B48" s="2" t="s">
        <v>292</v>
      </c>
      <c r="C48" s="4" t="s">
        <v>293</v>
      </c>
      <c r="D48" s="2">
        <v>4.0</v>
      </c>
      <c r="E48" s="1">
        <f t="shared" si="1"/>
        <v>100</v>
      </c>
    </row>
    <row r="49" ht="15.75" customHeight="1">
      <c r="A49" s="8">
        <v>46239.0</v>
      </c>
      <c r="B49" s="2" t="s">
        <v>294</v>
      </c>
      <c r="C49" s="2" t="s">
        <v>295</v>
      </c>
      <c r="D49" s="2">
        <v>2.0</v>
      </c>
      <c r="E49" s="1">
        <f t="shared" si="1"/>
        <v>50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28.22"/>
    <col customWidth="1" min="3" max="3" width="35.33"/>
    <col customWidth="1" min="4" max="26" width="8.33"/>
  </cols>
  <sheetData>
    <row r="1" ht="15.75" customHeight="1">
      <c r="A1" s="1" t="s">
        <v>0</v>
      </c>
      <c r="B1" s="2" t="s">
        <v>2</v>
      </c>
      <c r="C1" s="2" t="s">
        <v>3</v>
      </c>
      <c r="D1" s="1" t="s">
        <v>5</v>
      </c>
      <c r="E1" s="2" t="s">
        <v>6</v>
      </c>
      <c r="F1" s="2" t="s">
        <v>7</v>
      </c>
      <c r="G1" s="2" t="s">
        <v>8</v>
      </c>
    </row>
    <row r="2" ht="15.75" customHeight="1">
      <c r="A2" s="1" t="s">
        <v>9</v>
      </c>
      <c r="B2" s="1" t="s">
        <v>10</v>
      </c>
      <c r="C2" s="1" t="s">
        <v>10</v>
      </c>
      <c r="D2" s="1">
        <v>8.0</v>
      </c>
      <c r="E2" s="1">
        <f t="shared" ref="E2:E26" si="1"> 25*D2</f>
        <v>200</v>
      </c>
      <c r="F2" s="1">
        <f>SUM(D2:D55)</f>
        <v>102</v>
      </c>
      <c r="G2" s="1">
        <f>F2*25</f>
        <v>2550</v>
      </c>
    </row>
    <row r="3" ht="15.75" customHeight="1">
      <c r="A3" s="1" t="s">
        <v>12</v>
      </c>
      <c r="B3" s="1" t="s">
        <v>13</v>
      </c>
      <c r="C3" s="1" t="s">
        <v>14</v>
      </c>
      <c r="D3" s="1">
        <v>8.0</v>
      </c>
      <c r="E3" s="1">
        <f t="shared" si="1"/>
        <v>200</v>
      </c>
    </row>
    <row r="4" ht="15.75" customHeight="1">
      <c r="A4" s="1" t="s">
        <v>15</v>
      </c>
      <c r="B4" s="1" t="s">
        <v>13</v>
      </c>
      <c r="C4" s="1" t="s">
        <v>14</v>
      </c>
      <c r="D4" s="1">
        <v>8.0</v>
      </c>
      <c r="E4" s="1">
        <f t="shared" si="1"/>
        <v>200</v>
      </c>
    </row>
    <row r="5" ht="15.75" customHeight="1">
      <c r="A5" s="1" t="s">
        <v>17</v>
      </c>
      <c r="B5" s="1" t="s">
        <v>13</v>
      </c>
      <c r="C5" s="1" t="s">
        <v>18</v>
      </c>
      <c r="D5" s="1">
        <v>8.0</v>
      </c>
      <c r="E5" s="1">
        <f t="shared" si="1"/>
        <v>200</v>
      </c>
    </row>
    <row r="6" ht="15.75" customHeight="1">
      <c r="A6" s="1" t="s">
        <v>19</v>
      </c>
      <c r="B6" s="1" t="s">
        <v>20</v>
      </c>
      <c r="C6" s="1" t="s">
        <v>21</v>
      </c>
      <c r="D6" s="1">
        <v>4.0</v>
      </c>
      <c r="E6" s="1">
        <f t="shared" si="1"/>
        <v>100</v>
      </c>
    </row>
    <row r="7" ht="15.75" customHeight="1">
      <c r="A7" s="1" t="s">
        <v>22</v>
      </c>
      <c r="E7" s="1">
        <f t="shared" si="1"/>
        <v>0</v>
      </c>
    </row>
    <row r="8" ht="15.75" customHeight="1">
      <c r="A8" s="1" t="s">
        <v>23</v>
      </c>
      <c r="E8" s="1">
        <f t="shared" si="1"/>
        <v>0</v>
      </c>
    </row>
    <row r="9" ht="15.75" customHeight="1">
      <c r="A9" s="2" t="s">
        <v>24</v>
      </c>
      <c r="B9" s="2" t="s">
        <v>26</v>
      </c>
      <c r="C9" s="2" t="s">
        <v>28</v>
      </c>
      <c r="D9" s="2">
        <v>2.0</v>
      </c>
      <c r="E9" s="1">
        <f t="shared" si="1"/>
        <v>50</v>
      </c>
    </row>
    <row r="10" ht="15.75" customHeight="1">
      <c r="A10" s="2" t="s">
        <v>29</v>
      </c>
      <c r="B10" s="2"/>
      <c r="E10" s="1">
        <f t="shared" si="1"/>
        <v>0</v>
      </c>
    </row>
    <row r="11" ht="15.75" customHeight="1">
      <c r="A11" s="2" t="s">
        <v>30</v>
      </c>
      <c r="B11" s="2" t="s">
        <v>33</v>
      </c>
      <c r="C11" s="2" t="s">
        <v>34</v>
      </c>
      <c r="D11" s="2">
        <v>3.0</v>
      </c>
      <c r="E11" s="1">
        <f t="shared" si="1"/>
        <v>75</v>
      </c>
    </row>
    <row r="12" ht="15.75" customHeight="1">
      <c r="A12" s="2" t="s">
        <v>35</v>
      </c>
      <c r="B12" s="2"/>
      <c r="C12" s="2"/>
      <c r="D12" s="2"/>
      <c r="E12" s="1">
        <f t="shared" si="1"/>
        <v>0</v>
      </c>
    </row>
    <row r="13" ht="15.75" customHeight="1">
      <c r="A13" s="2" t="s">
        <v>38</v>
      </c>
      <c r="B13" s="2" t="s">
        <v>39</v>
      </c>
      <c r="C13" s="2" t="s">
        <v>40</v>
      </c>
      <c r="D13" s="2">
        <v>1.5</v>
      </c>
      <c r="E13" s="1">
        <f t="shared" si="1"/>
        <v>37.5</v>
      </c>
    </row>
    <row r="14" ht="15.75" customHeight="1">
      <c r="B14" s="2"/>
      <c r="E14" s="1">
        <f t="shared" si="1"/>
        <v>0</v>
      </c>
    </row>
    <row r="15" ht="15.75" customHeight="1">
      <c r="A15" s="2" t="s">
        <v>42</v>
      </c>
      <c r="B15" s="2" t="s">
        <v>47</v>
      </c>
      <c r="C15" s="2" t="s">
        <v>48</v>
      </c>
      <c r="D15" s="2">
        <v>3.0</v>
      </c>
      <c r="E15" s="1">
        <f t="shared" si="1"/>
        <v>75</v>
      </c>
    </row>
    <row r="16" ht="15.75" customHeight="1">
      <c r="A16" s="2" t="s">
        <v>49</v>
      </c>
      <c r="B16" s="2" t="s">
        <v>39</v>
      </c>
      <c r="C16" s="2" t="s">
        <v>52</v>
      </c>
      <c r="D16" s="2">
        <v>1.5</v>
      </c>
      <c r="E16" s="1">
        <f t="shared" si="1"/>
        <v>37.5</v>
      </c>
    </row>
    <row r="17" ht="15.75" customHeight="1">
      <c r="A17" s="2" t="s">
        <v>54</v>
      </c>
      <c r="E17" s="1">
        <f t="shared" si="1"/>
        <v>0</v>
      </c>
    </row>
    <row r="18" ht="15.75" customHeight="1">
      <c r="A18" s="2" t="s">
        <v>55</v>
      </c>
      <c r="B18" s="2" t="s">
        <v>47</v>
      </c>
      <c r="C18" s="2" t="s">
        <v>56</v>
      </c>
      <c r="D18" s="2">
        <v>3.0</v>
      </c>
      <c r="E18" s="1">
        <f t="shared" si="1"/>
        <v>75</v>
      </c>
    </row>
    <row r="19" ht="15.75" customHeight="1">
      <c r="A19" s="2" t="s">
        <v>60</v>
      </c>
      <c r="E19" s="1">
        <f t="shared" si="1"/>
        <v>0</v>
      </c>
    </row>
    <row r="20" ht="15.75" customHeight="1">
      <c r="A20" s="2" t="s">
        <v>64</v>
      </c>
      <c r="B20" s="2" t="s">
        <v>66</v>
      </c>
      <c r="D20" s="2">
        <v>1.0</v>
      </c>
      <c r="E20" s="1">
        <f t="shared" si="1"/>
        <v>25</v>
      </c>
    </row>
    <row r="21" ht="15.75" customHeight="1">
      <c r="A21" s="2" t="s">
        <v>68</v>
      </c>
      <c r="B21" s="2" t="s">
        <v>71</v>
      </c>
      <c r="C21" s="2" t="s">
        <v>73</v>
      </c>
      <c r="D21" s="2">
        <v>4.0</v>
      </c>
      <c r="E21" s="1">
        <f t="shared" si="1"/>
        <v>100</v>
      </c>
    </row>
    <row r="22" ht="15.75" customHeight="1">
      <c r="A22" s="2" t="s">
        <v>75</v>
      </c>
      <c r="B22" s="2" t="s">
        <v>71</v>
      </c>
      <c r="C22" s="2" t="s">
        <v>77</v>
      </c>
      <c r="D22" s="2">
        <v>5.0</v>
      </c>
      <c r="E22" s="1">
        <f t="shared" si="1"/>
        <v>125</v>
      </c>
    </row>
    <row r="23" ht="15.75" customHeight="1">
      <c r="A23" s="2" t="s">
        <v>80</v>
      </c>
      <c r="B23" s="2" t="s">
        <v>83</v>
      </c>
      <c r="D23" s="2">
        <v>2.0</v>
      </c>
      <c r="E23" s="1">
        <f t="shared" si="1"/>
        <v>50</v>
      </c>
    </row>
    <row r="24" ht="15.75" customHeight="1">
      <c r="A24" s="2" t="s">
        <v>84</v>
      </c>
      <c r="E24" s="1">
        <f t="shared" si="1"/>
        <v>0</v>
      </c>
    </row>
    <row r="25" ht="15.75" customHeight="1">
      <c r="A25" s="2" t="s">
        <v>87</v>
      </c>
      <c r="B25" s="2" t="s">
        <v>88</v>
      </c>
      <c r="C25" s="2" t="s">
        <v>89</v>
      </c>
      <c r="D25" s="2">
        <v>3.0</v>
      </c>
      <c r="E25" s="1">
        <f t="shared" si="1"/>
        <v>75</v>
      </c>
    </row>
    <row r="26" ht="15.75" customHeight="1">
      <c r="A26" s="2" t="s">
        <v>91</v>
      </c>
      <c r="E26" s="1">
        <f t="shared" si="1"/>
        <v>0</v>
      </c>
    </row>
    <row r="27" ht="15.75" customHeight="1">
      <c r="A27" s="2" t="s">
        <v>94</v>
      </c>
      <c r="B27" s="2" t="s">
        <v>39</v>
      </c>
      <c r="D27" s="2">
        <v>2.0</v>
      </c>
      <c r="E27" s="1">
        <f>25*D27</f>
        <v>50</v>
      </c>
    </row>
    <row r="28" ht="15.75" customHeight="1">
      <c r="A28" s="2" t="s">
        <v>99</v>
      </c>
    </row>
    <row r="29" ht="15.75" customHeight="1">
      <c r="A29" s="2" t="s">
        <v>101</v>
      </c>
      <c r="B29" s="2" t="s">
        <v>88</v>
      </c>
      <c r="C29" s="5" t="s">
        <v>103</v>
      </c>
      <c r="D29" s="5">
        <v>2.0</v>
      </c>
      <c r="E29" s="5">
        <f> 25*D29</f>
        <v>50</v>
      </c>
    </row>
    <row r="30" ht="15.75" customHeight="1">
      <c r="A30" s="2" t="s">
        <v>110</v>
      </c>
    </row>
    <row r="31" ht="15.75" customHeight="1">
      <c r="A31" s="5" t="s">
        <v>113</v>
      </c>
    </row>
    <row r="32" ht="15.75" customHeight="1">
      <c r="A32" s="5" t="s">
        <v>115</v>
      </c>
      <c r="B32" s="2" t="s">
        <v>88</v>
      </c>
      <c r="C32" s="5" t="s">
        <v>116</v>
      </c>
      <c r="D32" s="5">
        <v>2.0</v>
      </c>
      <c r="E32" s="1">
        <f> 25*D32</f>
        <v>50</v>
      </c>
    </row>
    <row r="33" ht="15.75" customHeight="1">
      <c r="A33" s="5" t="s">
        <v>121</v>
      </c>
      <c r="B33" s="2" t="s">
        <v>88</v>
      </c>
      <c r="C33" s="5" t="s">
        <v>124</v>
      </c>
      <c r="D33" s="5">
        <v>3.0</v>
      </c>
      <c r="E33" s="1">
        <f>25*D33</f>
        <v>75</v>
      </c>
    </row>
    <row r="34" ht="15.75" customHeight="1">
      <c r="A34" s="5" t="s">
        <v>132</v>
      </c>
    </row>
    <row r="35" ht="15.75" customHeight="1">
      <c r="A35" s="5" t="s">
        <v>134</v>
      </c>
    </row>
    <row r="36" ht="15.75" customHeight="1">
      <c r="A36" s="5" t="s">
        <v>137</v>
      </c>
      <c r="B36" s="5" t="s">
        <v>88</v>
      </c>
      <c r="C36" s="5" t="s">
        <v>139</v>
      </c>
      <c r="D36" s="5">
        <v>2.0</v>
      </c>
      <c r="E36" s="5">
        <f t="shared" ref="E36:E54" si="2">25*D36</f>
        <v>50</v>
      </c>
    </row>
    <row r="37" ht="15.75" customHeight="1">
      <c r="A37" s="2" t="s">
        <v>146</v>
      </c>
      <c r="B37" s="5" t="s">
        <v>88</v>
      </c>
      <c r="C37" s="2" t="s">
        <v>147</v>
      </c>
      <c r="D37" s="2">
        <v>3.0</v>
      </c>
      <c r="E37" s="5">
        <f t="shared" si="2"/>
        <v>75</v>
      </c>
    </row>
    <row r="38" ht="15.75" customHeight="1">
      <c r="A38" s="2" t="s">
        <v>151</v>
      </c>
      <c r="B38" s="2" t="s">
        <v>39</v>
      </c>
      <c r="D38" s="2">
        <v>1.0</v>
      </c>
      <c r="E38" s="5">
        <f t="shared" si="2"/>
        <v>25</v>
      </c>
    </row>
    <row r="39" ht="15.75" customHeight="1">
      <c r="A39" s="2" t="s">
        <v>154</v>
      </c>
      <c r="E39" s="5">
        <f t="shared" si="2"/>
        <v>0</v>
      </c>
    </row>
    <row r="40" ht="15.75" customHeight="1">
      <c r="A40" s="2" t="s">
        <v>156</v>
      </c>
      <c r="E40" s="5">
        <f t="shared" si="2"/>
        <v>0</v>
      </c>
    </row>
    <row r="41" ht="15.75" customHeight="1">
      <c r="A41" s="2" t="s">
        <v>160</v>
      </c>
      <c r="B41" s="2" t="s">
        <v>162</v>
      </c>
      <c r="D41" s="2">
        <v>1.0</v>
      </c>
      <c r="E41" s="5">
        <f t="shared" si="2"/>
        <v>25</v>
      </c>
    </row>
    <row r="42" ht="15.75" customHeight="1">
      <c r="A42" s="2" t="s">
        <v>165</v>
      </c>
      <c r="B42" s="2" t="s">
        <v>166</v>
      </c>
      <c r="D42" s="2">
        <v>1.0</v>
      </c>
      <c r="E42" s="5">
        <f t="shared" si="2"/>
        <v>25</v>
      </c>
    </row>
    <row r="43" ht="15.75" customHeight="1">
      <c r="A43" s="2" t="s">
        <v>167</v>
      </c>
      <c r="B43" s="5" t="s">
        <v>88</v>
      </c>
      <c r="C43" s="2" t="s">
        <v>168</v>
      </c>
      <c r="D43" s="2">
        <v>2.0</v>
      </c>
      <c r="E43" s="5">
        <f t="shared" si="2"/>
        <v>50</v>
      </c>
    </row>
    <row r="44" ht="15.75" customHeight="1">
      <c r="A44" s="2" t="s">
        <v>170</v>
      </c>
      <c r="B44" s="5" t="s">
        <v>88</v>
      </c>
      <c r="C44" s="2" t="s">
        <v>175</v>
      </c>
      <c r="D44" s="2">
        <v>1.0</v>
      </c>
      <c r="E44" s="5">
        <f t="shared" si="2"/>
        <v>25</v>
      </c>
    </row>
    <row r="45" ht="15.75" customHeight="1">
      <c r="A45" s="2" t="s">
        <v>178</v>
      </c>
      <c r="B45" s="5" t="s">
        <v>88</v>
      </c>
      <c r="C45" s="2" t="s">
        <v>180</v>
      </c>
      <c r="D45" s="2">
        <v>1.0</v>
      </c>
      <c r="E45" s="5">
        <f t="shared" si="2"/>
        <v>25</v>
      </c>
    </row>
    <row r="46" ht="15.75" customHeight="1">
      <c r="A46" s="2" t="s">
        <v>182</v>
      </c>
      <c r="B46" s="5" t="s">
        <v>88</v>
      </c>
      <c r="C46" s="2" t="s">
        <v>184</v>
      </c>
      <c r="D46" s="2">
        <v>2.0</v>
      </c>
      <c r="E46" s="5">
        <f t="shared" si="2"/>
        <v>50</v>
      </c>
    </row>
    <row r="47" ht="15.75" customHeight="1">
      <c r="A47" s="2" t="s">
        <v>189</v>
      </c>
      <c r="B47" s="2" t="s">
        <v>88</v>
      </c>
      <c r="C47" s="2" t="s">
        <v>192</v>
      </c>
      <c r="D47" s="2">
        <v>2.0</v>
      </c>
      <c r="E47" s="5">
        <f t="shared" si="2"/>
        <v>50</v>
      </c>
    </row>
    <row r="48" ht="15.75" customHeight="1">
      <c r="A48" s="2" t="s">
        <v>197</v>
      </c>
      <c r="B48" s="2" t="s">
        <v>88</v>
      </c>
      <c r="C48" s="2" t="s">
        <v>39</v>
      </c>
      <c r="D48" s="2">
        <v>1.0</v>
      </c>
      <c r="E48" s="5">
        <f t="shared" si="2"/>
        <v>25</v>
      </c>
    </row>
    <row r="49" ht="15.75" customHeight="1">
      <c r="A49" s="2" t="s">
        <v>201</v>
      </c>
      <c r="B49" s="2" t="s">
        <v>88</v>
      </c>
      <c r="C49" s="2" t="s">
        <v>203</v>
      </c>
      <c r="D49" s="2">
        <v>3.0</v>
      </c>
      <c r="E49" s="5">
        <f t="shared" si="2"/>
        <v>75</v>
      </c>
    </row>
    <row r="50" ht="15.75" customHeight="1">
      <c r="A50" s="2" t="s">
        <v>206</v>
      </c>
      <c r="B50" s="2" t="s">
        <v>88</v>
      </c>
      <c r="C50" s="2" t="s">
        <v>208</v>
      </c>
      <c r="D50" s="2">
        <v>2.0</v>
      </c>
      <c r="E50" s="5">
        <f t="shared" si="2"/>
        <v>50</v>
      </c>
    </row>
    <row r="51" ht="15.75" customHeight="1">
      <c r="A51" s="2" t="s">
        <v>210</v>
      </c>
      <c r="B51" s="2" t="s">
        <v>88</v>
      </c>
      <c r="C51" s="2" t="s">
        <v>211</v>
      </c>
      <c r="D51" s="2">
        <v>1.0</v>
      </c>
      <c r="E51" s="5">
        <f t="shared" si="2"/>
        <v>25</v>
      </c>
    </row>
    <row r="52" ht="15.75" customHeight="1">
      <c r="A52" s="2" t="s">
        <v>216</v>
      </c>
      <c r="B52" s="2" t="s">
        <v>88</v>
      </c>
      <c r="C52" s="2" t="s">
        <v>217</v>
      </c>
      <c r="D52" s="2">
        <v>1.0</v>
      </c>
      <c r="E52" s="5">
        <f t="shared" si="2"/>
        <v>25</v>
      </c>
    </row>
    <row r="53" ht="15.75" customHeight="1">
      <c r="A53" s="2" t="s">
        <v>223</v>
      </c>
      <c r="B53" s="2" t="s">
        <v>88</v>
      </c>
      <c r="C53" s="2" t="s">
        <v>225</v>
      </c>
      <c r="D53" s="2">
        <v>1.0</v>
      </c>
      <c r="E53" s="5">
        <f t="shared" si="2"/>
        <v>25</v>
      </c>
    </row>
    <row r="54" ht="15.75" customHeight="1">
      <c r="A54" s="2" t="s">
        <v>231</v>
      </c>
      <c r="B54" s="2" t="s">
        <v>88</v>
      </c>
      <c r="C54" s="2" t="s">
        <v>233</v>
      </c>
      <c r="D54" s="2">
        <v>1.0</v>
      </c>
      <c r="E54" s="5">
        <f t="shared" si="2"/>
        <v>25</v>
      </c>
    </row>
    <row r="55" ht="15.75" customHeight="1">
      <c r="A55" s="2" t="s">
        <v>238</v>
      </c>
      <c r="B55" s="2" t="s">
        <v>241</v>
      </c>
      <c r="C55" s="2" t="s">
        <v>242</v>
      </c>
      <c r="D55" s="2">
        <v>2.0</v>
      </c>
      <c r="E55" s="1">
        <f t="shared" ref="E55:E58" si="3"> 25*D55</f>
        <v>50</v>
      </c>
    </row>
    <row r="56" ht="15.75" customHeight="1">
      <c r="A56" s="2" t="s">
        <v>255</v>
      </c>
      <c r="B56" s="2" t="s">
        <v>97</v>
      </c>
      <c r="C56" s="2" t="s">
        <v>259</v>
      </c>
      <c r="D56" s="2">
        <v>2.0</v>
      </c>
      <c r="E56" s="1">
        <f t="shared" si="3"/>
        <v>50</v>
      </c>
    </row>
    <row r="57" ht="15.75" customHeight="1">
      <c r="A57" s="7">
        <v>46238.0</v>
      </c>
      <c r="B57" s="2" t="s">
        <v>269</v>
      </c>
      <c r="C57" s="2" t="s">
        <v>270</v>
      </c>
      <c r="D57" s="2">
        <v>1.0</v>
      </c>
      <c r="E57" s="1">
        <f t="shared" si="3"/>
        <v>25</v>
      </c>
    </row>
    <row r="58" ht="15.75" customHeight="1">
      <c r="A58" s="7">
        <v>46239.0</v>
      </c>
      <c r="B58" s="2" t="s">
        <v>276</v>
      </c>
      <c r="C58" s="2" t="s">
        <v>277</v>
      </c>
      <c r="D58" s="2">
        <v>3.0</v>
      </c>
      <c r="E58" s="1">
        <f t="shared" si="3"/>
        <v>75</v>
      </c>
    </row>
    <row r="59" ht="15.75" customHeight="1">
      <c r="A59" s="2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8.78"/>
    <col customWidth="1" min="3" max="3" width="41.56"/>
    <col customWidth="1" min="4" max="26" width="8.33"/>
  </cols>
  <sheetData>
    <row r="1" ht="15.75" customHeight="1">
      <c r="A1" s="1" t="s">
        <v>0</v>
      </c>
      <c r="B1" s="2" t="s">
        <v>16</v>
      </c>
      <c r="C1" s="1" t="s">
        <v>3</v>
      </c>
      <c r="D1" s="1" t="s">
        <v>5</v>
      </c>
      <c r="E1" s="2" t="s">
        <v>6</v>
      </c>
      <c r="F1" s="2" t="s">
        <v>7</v>
      </c>
      <c r="G1" s="2" t="s">
        <v>8</v>
      </c>
    </row>
    <row r="2" ht="15.75" customHeight="1">
      <c r="A2" s="1" t="s">
        <v>9</v>
      </c>
      <c r="B2" s="1" t="s">
        <v>10</v>
      </c>
      <c r="C2" s="1" t="s">
        <v>10</v>
      </c>
      <c r="D2" s="1">
        <v>8.0</v>
      </c>
      <c r="E2" s="1">
        <f t="shared" ref="E2:E29" si="1"> 25*D2</f>
        <v>200</v>
      </c>
      <c r="F2" s="1">
        <f>SUM(D2:D44)</f>
        <v>85.5</v>
      </c>
      <c r="G2" s="1">
        <f>F2*25</f>
        <v>2137.5</v>
      </c>
    </row>
    <row r="3" ht="15.75" customHeight="1">
      <c r="A3" s="1" t="s">
        <v>12</v>
      </c>
      <c r="B3" s="1" t="s">
        <v>13</v>
      </c>
      <c r="C3" s="1" t="s">
        <v>14</v>
      </c>
      <c r="D3" s="1">
        <v>8.0</v>
      </c>
      <c r="E3" s="1">
        <f t="shared" si="1"/>
        <v>200</v>
      </c>
    </row>
    <row r="4" ht="15.75" customHeight="1">
      <c r="A4" s="1" t="s">
        <v>15</v>
      </c>
      <c r="B4" s="1" t="s">
        <v>13</v>
      </c>
      <c r="C4" s="1" t="s">
        <v>14</v>
      </c>
      <c r="D4" s="1">
        <v>8.0</v>
      </c>
      <c r="E4" s="1">
        <f t="shared" si="1"/>
        <v>200</v>
      </c>
    </row>
    <row r="5" ht="15.75" customHeight="1">
      <c r="A5" s="1" t="s">
        <v>17</v>
      </c>
      <c r="B5" s="1" t="s">
        <v>13</v>
      </c>
      <c r="C5" s="1" t="s">
        <v>18</v>
      </c>
      <c r="D5" s="1">
        <v>8.0</v>
      </c>
      <c r="E5" s="1">
        <f t="shared" si="1"/>
        <v>200</v>
      </c>
    </row>
    <row r="6" ht="15.75" customHeight="1">
      <c r="A6" s="1" t="s">
        <v>19</v>
      </c>
      <c r="B6" s="1" t="s">
        <v>20</v>
      </c>
      <c r="C6" s="1" t="s">
        <v>21</v>
      </c>
      <c r="D6" s="1">
        <v>4.0</v>
      </c>
      <c r="E6" s="1">
        <f t="shared" si="1"/>
        <v>100</v>
      </c>
    </row>
    <row r="7" ht="15.75" customHeight="1">
      <c r="A7" s="1" t="s">
        <v>22</v>
      </c>
      <c r="E7" s="1">
        <f t="shared" si="1"/>
        <v>0</v>
      </c>
    </row>
    <row r="8" ht="15.75" customHeight="1">
      <c r="A8" s="1" t="s">
        <v>23</v>
      </c>
      <c r="B8" s="2" t="s">
        <v>104</v>
      </c>
      <c r="C8" s="2" t="s">
        <v>106</v>
      </c>
      <c r="D8" s="2">
        <v>5.0</v>
      </c>
      <c r="E8" s="1">
        <f t="shared" si="1"/>
        <v>125</v>
      </c>
    </row>
    <row r="9" ht="15.75" customHeight="1">
      <c r="A9" s="2" t="s">
        <v>29</v>
      </c>
      <c r="B9" s="2" t="s">
        <v>111</v>
      </c>
      <c r="C9" s="2" t="s">
        <v>114</v>
      </c>
      <c r="D9" s="2">
        <v>1.0</v>
      </c>
      <c r="E9" s="1">
        <f t="shared" si="1"/>
        <v>25</v>
      </c>
    </row>
    <row r="10" ht="15.75" customHeight="1">
      <c r="A10" s="2" t="s">
        <v>35</v>
      </c>
      <c r="E10" s="1">
        <f t="shared" si="1"/>
        <v>0</v>
      </c>
    </row>
    <row r="11" ht="15.75" customHeight="1">
      <c r="A11" s="2" t="s">
        <v>38</v>
      </c>
      <c r="B11" s="2" t="s">
        <v>39</v>
      </c>
      <c r="C11" s="2" t="s">
        <v>126</v>
      </c>
      <c r="D11" s="2">
        <v>1.5</v>
      </c>
      <c r="E11" s="1">
        <f t="shared" si="1"/>
        <v>37.5</v>
      </c>
    </row>
    <row r="12" ht="15.75" customHeight="1">
      <c r="B12" s="2" t="s">
        <v>39</v>
      </c>
      <c r="E12" s="1">
        <f t="shared" si="1"/>
        <v>0</v>
      </c>
    </row>
    <row r="13" ht="15.75" customHeight="1">
      <c r="A13" s="2" t="s">
        <v>42</v>
      </c>
      <c r="B13" s="2" t="s">
        <v>104</v>
      </c>
      <c r="C13" s="2" t="s">
        <v>144</v>
      </c>
      <c r="D13" s="2">
        <v>4.0</v>
      </c>
      <c r="E13" s="1">
        <f t="shared" si="1"/>
        <v>100</v>
      </c>
    </row>
    <row r="14" ht="15.75" customHeight="1">
      <c r="A14" s="2" t="s">
        <v>49</v>
      </c>
      <c r="B14" s="2" t="s">
        <v>39</v>
      </c>
      <c r="C14" s="2" t="s">
        <v>158</v>
      </c>
      <c r="D14" s="2">
        <v>1.0</v>
      </c>
      <c r="E14" s="1">
        <f t="shared" si="1"/>
        <v>25</v>
      </c>
    </row>
    <row r="15" ht="15.75" customHeight="1">
      <c r="A15" s="2" t="s">
        <v>54</v>
      </c>
      <c r="E15" s="1">
        <f t="shared" si="1"/>
        <v>0</v>
      </c>
    </row>
    <row r="16" ht="15.75" customHeight="1">
      <c r="A16" s="2" t="s">
        <v>55</v>
      </c>
      <c r="B16" s="2" t="s">
        <v>104</v>
      </c>
      <c r="C16" s="2" t="s">
        <v>174</v>
      </c>
      <c r="D16" s="2">
        <v>2.0</v>
      </c>
      <c r="E16" s="1">
        <f t="shared" si="1"/>
        <v>50</v>
      </c>
    </row>
    <row r="17" ht="15.75" customHeight="1">
      <c r="A17" s="2" t="s">
        <v>60</v>
      </c>
      <c r="E17" s="1">
        <f t="shared" si="1"/>
        <v>0</v>
      </c>
    </row>
    <row r="18" ht="15.75" customHeight="1">
      <c r="A18" s="2" t="s">
        <v>64</v>
      </c>
      <c r="B18" s="2" t="s">
        <v>66</v>
      </c>
      <c r="D18" s="2">
        <v>1.0</v>
      </c>
      <c r="E18" s="1">
        <f t="shared" si="1"/>
        <v>25</v>
      </c>
    </row>
    <row r="19" ht="15.75" customHeight="1">
      <c r="A19" s="2" t="s">
        <v>68</v>
      </c>
      <c r="B19" s="2" t="s">
        <v>193</v>
      </c>
      <c r="C19" s="2" t="s">
        <v>195</v>
      </c>
      <c r="D19" s="2">
        <v>4.0</v>
      </c>
      <c r="E19" s="1">
        <f t="shared" si="1"/>
        <v>100</v>
      </c>
    </row>
    <row r="20" ht="15.75" customHeight="1">
      <c r="A20" s="2" t="s">
        <v>75</v>
      </c>
      <c r="B20" s="2" t="s">
        <v>193</v>
      </c>
      <c r="C20" s="2" t="s">
        <v>77</v>
      </c>
      <c r="D20" s="2">
        <v>4.0</v>
      </c>
      <c r="E20" s="1">
        <f t="shared" si="1"/>
        <v>100</v>
      </c>
    </row>
    <row r="21" ht="15.75" customHeight="1">
      <c r="A21" s="2" t="s">
        <v>80</v>
      </c>
      <c r="B21" s="2" t="s">
        <v>83</v>
      </c>
      <c r="D21" s="2">
        <v>3.0</v>
      </c>
      <c r="E21" s="1">
        <f t="shared" si="1"/>
        <v>75</v>
      </c>
    </row>
    <row r="22" ht="15.75" customHeight="1">
      <c r="A22" s="2" t="s">
        <v>84</v>
      </c>
      <c r="E22" s="1">
        <f t="shared" si="1"/>
        <v>0</v>
      </c>
    </row>
    <row r="23" ht="15.75" customHeight="1">
      <c r="A23" s="2" t="s">
        <v>87</v>
      </c>
      <c r="E23" s="1">
        <f t="shared" si="1"/>
        <v>0</v>
      </c>
    </row>
    <row r="24" ht="15.75" customHeight="1">
      <c r="A24" s="2" t="s">
        <v>91</v>
      </c>
      <c r="E24" s="1">
        <f t="shared" si="1"/>
        <v>0</v>
      </c>
    </row>
    <row r="25" ht="15.75" customHeight="1">
      <c r="A25" s="2" t="s">
        <v>94</v>
      </c>
      <c r="B25" s="2" t="s">
        <v>39</v>
      </c>
      <c r="E25" s="1">
        <f t="shared" si="1"/>
        <v>0</v>
      </c>
    </row>
    <row r="26" ht="15.75" customHeight="1">
      <c r="A26" s="2" t="s">
        <v>99</v>
      </c>
      <c r="E26" s="1">
        <f t="shared" si="1"/>
        <v>0</v>
      </c>
    </row>
    <row r="27" ht="15.75" customHeight="1">
      <c r="A27" s="2" t="s">
        <v>101</v>
      </c>
      <c r="B27" s="2" t="s">
        <v>253</v>
      </c>
      <c r="C27" s="2" t="s">
        <v>254</v>
      </c>
      <c r="D27" s="2">
        <v>2.0</v>
      </c>
      <c r="E27" s="1">
        <f t="shared" si="1"/>
        <v>50</v>
      </c>
    </row>
    <row r="28" ht="15.75" customHeight="1">
      <c r="A28" s="2" t="s">
        <v>110</v>
      </c>
      <c r="B28" s="2" t="s">
        <v>253</v>
      </c>
      <c r="C28" s="2" t="s">
        <v>271</v>
      </c>
      <c r="D28" s="2">
        <v>2.0</v>
      </c>
      <c r="E28" s="1">
        <f t="shared" si="1"/>
        <v>50</v>
      </c>
    </row>
    <row r="29" ht="15.75" customHeight="1">
      <c r="E29" s="1">
        <f t="shared" si="1"/>
        <v>0</v>
      </c>
    </row>
    <row r="30" ht="15.75" customHeight="1">
      <c r="A30" s="2" t="s">
        <v>138</v>
      </c>
      <c r="B30" s="2" t="s">
        <v>279</v>
      </c>
    </row>
    <row r="31" ht="15.75" customHeight="1"/>
    <row r="32" ht="15.75" customHeight="1">
      <c r="A32" s="2" t="s">
        <v>146</v>
      </c>
      <c r="B32" s="2" t="s">
        <v>279</v>
      </c>
      <c r="C32" s="2" t="s">
        <v>285</v>
      </c>
      <c r="D32" s="2">
        <v>3.0</v>
      </c>
      <c r="E32" s="2">
        <v>75.0</v>
      </c>
    </row>
    <row r="33" ht="15.75" customHeight="1">
      <c r="A33" s="2" t="s">
        <v>151</v>
      </c>
      <c r="B33" s="2" t="s">
        <v>39</v>
      </c>
      <c r="D33" s="2">
        <v>1.0</v>
      </c>
      <c r="E33" s="2">
        <v>25.0</v>
      </c>
    </row>
    <row r="34" ht="15.75" customHeight="1">
      <c r="A34" s="2" t="s">
        <v>154</v>
      </c>
    </row>
    <row r="35" ht="15.75" customHeight="1">
      <c r="A35" s="2" t="s">
        <v>156</v>
      </c>
    </row>
    <row r="36" ht="15.75" customHeight="1">
      <c r="A36" s="2" t="s">
        <v>160</v>
      </c>
      <c r="B36" s="2" t="s">
        <v>162</v>
      </c>
      <c r="D36" s="2">
        <v>1.0</v>
      </c>
      <c r="E36" s="2">
        <v>25.0</v>
      </c>
    </row>
    <row r="37" ht="15.75" customHeight="1">
      <c r="B37" s="2" t="s">
        <v>298</v>
      </c>
      <c r="D37" s="2">
        <v>1.0</v>
      </c>
      <c r="E37" s="2">
        <v>25.0</v>
      </c>
    </row>
    <row r="38" ht="15.75" customHeight="1">
      <c r="B38" s="2" t="s">
        <v>299</v>
      </c>
      <c r="C38" s="2" t="s">
        <v>300</v>
      </c>
      <c r="D38" s="2">
        <v>2.0</v>
      </c>
      <c r="E38" s="2">
        <v>50.0</v>
      </c>
    </row>
    <row r="39" ht="15.75" customHeight="1"/>
    <row r="40" ht="15.75" customHeight="1">
      <c r="A40" s="2" t="s">
        <v>209</v>
      </c>
      <c r="B40" s="2" t="s">
        <v>301</v>
      </c>
      <c r="C40" s="2" t="s">
        <v>302</v>
      </c>
      <c r="D40" s="2">
        <v>4.0</v>
      </c>
      <c r="E40" s="2">
        <v>100.0</v>
      </c>
    </row>
    <row r="41" ht="15.75" customHeight="1">
      <c r="A41" s="2" t="s">
        <v>214</v>
      </c>
      <c r="B41" s="2" t="s">
        <v>301</v>
      </c>
      <c r="C41" s="2" t="s">
        <v>303</v>
      </c>
      <c r="D41" s="2">
        <v>1.0</v>
      </c>
      <c r="E41" s="2">
        <v>25.0</v>
      </c>
    </row>
    <row r="42" ht="15.75" customHeight="1">
      <c r="B42" s="2" t="s">
        <v>20</v>
      </c>
      <c r="C42" s="2" t="s">
        <v>304</v>
      </c>
      <c r="D42" s="2">
        <v>2.0</v>
      </c>
      <c r="E42" s="2">
        <v>50.0</v>
      </c>
    </row>
    <row r="43" ht="15.75" customHeight="1">
      <c r="B43" s="2" t="s">
        <v>305</v>
      </c>
      <c r="D43" s="2">
        <v>1.0</v>
      </c>
      <c r="E43" s="2">
        <v>25.0</v>
      </c>
    </row>
    <row r="44" ht="15.75" customHeight="1">
      <c r="A44" s="2" t="s">
        <v>220</v>
      </c>
      <c r="B44" s="2" t="s">
        <v>222</v>
      </c>
      <c r="D44" s="2">
        <v>3.0</v>
      </c>
      <c r="E44" s="1">
        <f t="shared" ref="E44:E47" si="2"> 25*D44</f>
        <v>75</v>
      </c>
    </row>
    <row r="45" ht="15.75" customHeight="1">
      <c r="A45" s="2" t="s">
        <v>226</v>
      </c>
      <c r="E45" s="1">
        <f t="shared" si="2"/>
        <v>0</v>
      </c>
    </row>
    <row r="46" ht="15.75" customHeight="1">
      <c r="A46" s="2" t="s">
        <v>229</v>
      </c>
      <c r="B46" s="2" t="s">
        <v>306</v>
      </c>
      <c r="C46" s="2" t="s">
        <v>232</v>
      </c>
      <c r="D46" s="2">
        <v>2.0</v>
      </c>
      <c r="E46" s="1">
        <f t="shared" si="2"/>
        <v>50</v>
      </c>
    </row>
    <row r="47" ht="15.75" customHeight="1">
      <c r="A47" s="2" t="s">
        <v>237</v>
      </c>
      <c r="B47" s="2" t="s">
        <v>155</v>
      </c>
      <c r="D47" s="2">
        <v>1.0</v>
      </c>
      <c r="E47" s="1">
        <f t="shared" si="2"/>
        <v>25</v>
      </c>
    </row>
    <row r="48" ht="15.75" customHeight="1">
      <c r="A48" s="2" t="s">
        <v>243</v>
      </c>
      <c r="B48" s="2" t="s">
        <v>253</v>
      </c>
      <c r="C48" s="2" t="s">
        <v>307</v>
      </c>
      <c r="D48" s="2">
        <v>1.0</v>
      </c>
      <c r="E48" s="2">
        <v>25.0</v>
      </c>
    </row>
    <row r="49" ht="15.75" customHeight="1">
      <c r="A49" s="2" t="s">
        <v>249</v>
      </c>
      <c r="B49" s="2" t="s">
        <v>251</v>
      </c>
      <c r="C49" s="2" t="s">
        <v>252</v>
      </c>
      <c r="D49" s="2">
        <v>2.0</v>
      </c>
      <c r="E49" s="1">
        <f t="shared" ref="E49:E55" si="3"> 25*D49</f>
        <v>50</v>
      </c>
    </row>
    <row r="50" ht="15.75" customHeight="1">
      <c r="A50" s="2" t="s">
        <v>258</v>
      </c>
      <c r="B50" s="2" t="s">
        <v>260</v>
      </c>
      <c r="C50" s="2" t="s">
        <v>262</v>
      </c>
      <c r="D50" s="2">
        <v>2.0</v>
      </c>
      <c r="E50" s="1">
        <f t="shared" si="3"/>
        <v>50</v>
      </c>
    </row>
    <row r="51" ht="15.75" customHeight="1">
      <c r="A51" s="2" t="s">
        <v>264</v>
      </c>
      <c r="B51" s="2" t="s">
        <v>245</v>
      </c>
      <c r="C51" s="2" t="s">
        <v>246</v>
      </c>
      <c r="D51" s="2">
        <v>3.0</v>
      </c>
      <c r="E51" s="1">
        <f t="shared" si="3"/>
        <v>75</v>
      </c>
    </row>
    <row r="52" ht="15.75" customHeight="1">
      <c r="A52" s="2" t="s">
        <v>273</v>
      </c>
      <c r="E52" s="1">
        <f t="shared" si="3"/>
        <v>0</v>
      </c>
    </row>
    <row r="53" ht="15.75" customHeight="1">
      <c r="A53" s="2" t="s">
        <v>238</v>
      </c>
      <c r="E53" s="1">
        <f t="shared" si="3"/>
        <v>0</v>
      </c>
    </row>
    <row r="54" ht="15.75" customHeight="1">
      <c r="A54" s="2" t="s">
        <v>280</v>
      </c>
      <c r="B54" s="2" t="s">
        <v>306</v>
      </c>
      <c r="C54" s="2" t="s">
        <v>308</v>
      </c>
      <c r="D54" s="2">
        <v>2.0</v>
      </c>
      <c r="E54" s="1">
        <f t="shared" si="3"/>
        <v>50</v>
      </c>
    </row>
    <row r="55" ht="15.75" customHeight="1">
      <c r="A55" s="2" t="s">
        <v>255</v>
      </c>
      <c r="B55" s="2" t="s">
        <v>309</v>
      </c>
      <c r="C55" s="2" t="s">
        <v>311</v>
      </c>
      <c r="D55" s="2">
        <v>2.0</v>
      </c>
      <c r="E55" s="1">
        <f t="shared" si="3"/>
        <v>50</v>
      </c>
    </row>
    <row r="56" ht="15.75" customHeight="1">
      <c r="A56" s="2" t="s">
        <v>281</v>
      </c>
      <c r="B56" s="2" t="s">
        <v>309</v>
      </c>
      <c r="C56" s="2" t="s">
        <v>312</v>
      </c>
      <c r="D56" s="2" t="s">
        <v>313</v>
      </c>
      <c r="E56" s="2">
        <v>25.0</v>
      </c>
    </row>
    <row r="57" ht="15.75" customHeight="1">
      <c r="A57" s="2" t="s">
        <v>284</v>
      </c>
      <c r="E57" s="1">
        <f t="shared" ref="E57:E64" si="4"> 25*D57</f>
        <v>0</v>
      </c>
    </row>
    <row r="58" ht="15.75" customHeight="1">
      <c r="A58" s="9">
        <v>46235.0</v>
      </c>
      <c r="E58" s="1">
        <f t="shared" si="4"/>
        <v>0</v>
      </c>
    </row>
    <row r="59" ht="15.75" customHeight="1">
      <c r="A59" s="9">
        <v>46236.0</v>
      </c>
      <c r="E59" s="1">
        <f t="shared" si="4"/>
        <v>0</v>
      </c>
    </row>
    <row r="60" ht="15.75" customHeight="1">
      <c r="A60" s="9">
        <v>46237.0</v>
      </c>
      <c r="E60" s="1">
        <f t="shared" si="4"/>
        <v>0</v>
      </c>
    </row>
    <row r="61" ht="15.75" customHeight="1">
      <c r="A61" s="9">
        <v>46238.0</v>
      </c>
      <c r="B61" s="2" t="s">
        <v>314</v>
      </c>
      <c r="C61" s="2" t="s">
        <v>315</v>
      </c>
      <c r="D61" s="2">
        <v>2.0</v>
      </c>
      <c r="E61" s="1">
        <f t="shared" si="4"/>
        <v>50</v>
      </c>
    </row>
    <row r="62" ht="15.75" customHeight="1">
      <c r="A62" s="9">
        <v>46239.0</v>
      </c>
      <c r="E62" s="1">
        <f t="shared" si="4"/>
        <v>0</v>
      </c>
    </row>
    <row r="63" ht="15.75" customHeight="1">
      <c r="A63" s="9">
        <v>46240.0</v>
      </c>
      <c r="E63" s="1">
        <f t="shared" si="4"/>
        <v>0</v>
      </c>
    </row>
    <row r="64" ht="15.75" customHeight="1">
      <c r="A64" s="9">
        <v>46241.0</v>
      </c>
      <c r="E64" s="1">
        <f t="shared" si="4"/>
        <v>0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17.89"/>
    <col customWidth="1" min="3" max="3" width="31.0"/>
    <col customWidth="1" min="4" max="4" width="17.89"/>
    <col customWidth="1" min="5" max="26" width="8.33"/>
  </cols>
  <sheetData>
    <row r="1" ht="15.75" customHeight="1">
      <c r="A1" s="1" t="s">
        <v>0</v>
      </c>
      <c r="B1" s="2" t="s">
        <v>310</v>
      </c>
      <c r="C1" s="1" t="s">
        <v>3</v>
      </c>
      <c r="D1" s="1" t="s">
        <v>5</v>
      </c>
      <c r="E1" s="2" t="s">
        <v>6</v>
      </c>
      <c r="F1" s="2" t="s">
        <v>7</v>
      </c>
      <c r="G1" s="2" t="s">
        <v>8</v>
      </c>
    </row>
    <row r="2" ht="15.75" customHeight="1">
      <c r="A2" s="1" t="s">
        <v>9</v>
      </c>
      <c r="B2" s="1" t="s">
        <v>10</v>
      </c>
      <c r="C2" s="1" t="s">
        <v>10</v>
      </c>
      <c r="D2" s="1">
        <v>8.0</v>
      </c>
      <c r="E2" s="1">
        <f t="shared" ref="E2:E22" si="1"> 25*D2</f>
        <v>200</v>
      </c>
      <c r="F2" s="1">
        <f>SUM(D2:D58)</f>
        <v>154</v>
      </c>
      <c r="G2" s="1">
        <f>F2*25</f>
        <v>3850</v>
      </c>
    </row>
    <row r="3" ht="15.75" customHeight="1">
      <c r="A3" s="1" t="s">
        <v>12</v>
      </c>
      <c r="B3" s="1" t="s">
        <v>13</v>
      </c>
      <c r="C3" s="1" t="s">
        <v>14</v>
      </c>
      <c r="D3" s="1">
        <v>8.0</v>
      </c>
      <c r="E3" s="1">
        <f t="shared" si="1"/>
        <v>200</v>
      </c>
    </row>
    <row r="4" ht="15.75" customHeight="1">
      <c r="A4" s="1" t="s">
        <v>15</v>
      </c>
      <c r="B4" s="1" t="s">
        <v>13</v>
      </c>
      <c r="C4" s="1" t="s">
        <v>14</v>
      </c>
      <c r="D4" s="1">
        <v>8.0</v>
      </c>
      <c r="E4" s="1">
        <f t="shared" si="1"/>
        <v>200</v>
      </c>
    </row>
    <row r="5" ht="15.75" customHeight="1">
      <c r="A5" s="1" t="s">
        <v>17</v>
      </c>
      <c r="B5" s="1" t="s">
        <v>13</v>
      </c>
      <c r="C5" s="1" t="s">
        <v>18</v>
      </c>
      <c r="D5" s="1">
        <v>8.0</v>
      </c>
      <c r="E5" s="1">
        <f t="shared" si="1"/>
        <v>200</v>
      </c>
    </row>
    <row r="6" ht="15.75" customHeight="1">
      <c r="A6" s="1" t="s">
        <v>19</v>
      </c>
      <c r="B6" s="1" t="s">
        <v>20</v>
      </c>
      <c r="C6" s="1" t="s">
        <v>21</v>
      </c>
      <c r="D6" s="1">
        <v>4.0</v>
      </c>
      <c r="E6" s="1">
        <f t="shared" si="1"/>
        <v>100</v>
      </c>
    </row>
    <row r="7" ht="15.75" customHeight="1">
      <c r="A7" s="1" t="s">
        <v>22</v>
      </c>
      <c r="E7" s="1">
        <f t="shared" si="1"/>
        <v>0</v>
      </c>
    </row>
    <row r="8" ht="15.75" customHeight="1">
      <c r="A8" s="1" t="s">
        <v>23</v>
      </c>
      <c r="E8" s="1">
        <f t="shared" si="1"/>
        <v>0</v>
      </c>
    </row>
    <row r="9" ht="15.75" customHeight="1">
      <c r="A9" s="2" t="s">
        <v>59</v>
      </c>
      <c r="B9" s="2" t="s">
        <v>39</v>
      </c>
      <c r="D9" s="2">
        <v>1.0</v>
      </c>
      <c r="E9" s="1">
        <f t="shared" si="1"/>
        <v>25</v>
      </c>
    </row>
    <row r="10" ht="15.75" customHeight="1">
      <c r="A10" s="2" t="s">
        <v>316</v>
      </c>
      <c r="B10" s="2" t="s">
        <v>317</v>
      </c>
      <c r="C10" s="2" t="s">
        <v>318</v>
      </c>
      <c r="D10" s="2">
        <v>3.0</v>
      </c>
      <c r="E10" s="1">
        <f t="shared" si="1"/>
        <v>75</v>
      </c>
    </row>
    <row r="11" ht="15.75" customHeight="1">
      <c r="A11" s="2" t="s">
        <v>24</v>
      </c>
      <c r="B11" s="2" t="s">
        <v>25</v>
      </c>
      <c r="C11" s="2" t="s">
        <v>319</v>
      </c>
      <c r="D11" s="2">
        <v>2.0</v>
      </c>
      <c r="E11" s="1">
        <f t="shared" si="1"/>
        <v>50</v>
      </c>
    </row>
    <row r="12" ht="15.75" customHeight="1">
      <c r="A12" s="2" t="s">
        <v>35</v>
      </c>
      <c r="B12" s="2" t="s">
        <v>320</v>
      </c>
      <c r="C12" s="2" t="s">
        <v>321</v>
      </c>
      <c r="D12" s="2">
        <v>4.0</v>
      </c>
      <c r="E12" s="1">
        <f t="shared" si="1"/>
        <v>100</v>
      </c>
    </row>
    <row r="13" ht="15.75" customHeight="1">
      <c r="A13" s="2" t="s">
        <v>38</v>
      </c>
      <c r="B13" s="2" t="s">
        <v>320</v>
      </c>
      <c r="C13" s="2" t="s">
        <v>321</v>
      </c>
      <c r="D13" s="2">
        <v>4.0</v>
      </c>
      <c r="E13" s="1">
        <f t="shared" si="1"/>
        <v>100</v>
      </c>
    </row>
    <row r="14" ht="15.75" customHeight="1">
      <c r="A14" s="2" t="s">
        <v>41</v>
      </c>
      <c r="B14" s="2" t="s">
        <v>320</v>
      </c>
      <c r="C14" s="2" t="s">
        <v>321</v>
      </c>
      <c r="D14" s="2">
        <v>4.0</v>
      </c>
      <c r="E14" s="1">
        <f t="shared" si="1"/>
        <v>100</v>
      </c>
    </row>
    <row r="15" ht="15.75" customHeight="1">
      <c r="A15" s="2" t="s">
        <v>42</v>
      </c>
      <c r="B15" s="2" t="s">
        <v>320</v>
      </c>
      <c r="C15" s="2" t="s">
        <v>322</v>
      </c>
      <c r="D15" s="2">
        <v>4.0</v>
      </c>
      <c r="E15" s="1">
        <f t="shared" si="1"/>
        <v>100</v>
      </c>
    </row>
    <row r="16" ht="15.75" customHeight="1">
      <c r="A16" s="2" t="s">
        <v>49</v>
      </c>
      <c r="B16" s="2" t="s">
        <v>320</v>
      </c>
      <c r="C16" s="2" t="s">
        <v>323</v>
      </c>
      <c r="D16" s="2">
        <v>4.0</v>
      </c>
      <c r="E16" s="1">
        <f t="shared" si="1"/>
        <v>100</v>
      </c>
    </row>
    <row r="17" ht="15.75" customHeight="1">
      <c r="A17" s="2" t="s">
        <v>60</v>
      </c>
      <c r="B17" s="2" t="s">
        <v>320</v>
      </c>
      <c r="C17" s="2" t="s">
        <v>324</v>
      </c>
      <c r="D17" s="2">
        <v>4.0</v>
      </c>
      <c r="E17" s="1">
        <f t="shared" si="1"/>
        <v>100</v>
      </c>
    </row>
    <row r="18" ht="15.75" customHeight="1">
      <c r="A18" s="2" t="s">
        <v>64</v>
      </c>
      <c r="B18" s="2" t="s">
        <v>320</v>
      </c>
      <c r="C18" s="2" t="s">
        <v>324</v>
      </c>
      <c r="D18" s="2">
        <v>4.0</v>
      </c>
      <c r="E18" s="1">
        <f t="shared" si="1"/>
        <v>100</v>
      </c>
    </row>
    <row r="19" ht="15.75" customHeight="1">
      <c r="A19" s="2" t="s">
        <v>68</v>
      </c>
      <c r="B19" s="2" t="s">
        <v>320</v>
      </c>
      <c r="C19" s="2" t="s">
        <v>325</v>
      </c>
      <c r="D19" s="2">
        <v>4.0</v>
      </c>
      <c r="E19" s="1">
        <f t="shared" si="1"/>
        <v>100</v>
      </c>
    </row>
    <row r="20" ht="15.75" customHeight="1">
      <c r="A20" s="2" t="s">
        <v>101</v>
      </c>
      <c r="B20" s="2" t="s">
        <v>326</v>
      </c>
      <c r="C20" s="2" t="s">
        <v>327</v>
      </c>
      <c r="D20" s="2">
        <v>3.0</v>
      </c>
      <c r="E20" s="1">
        <f t="shared" si="1"/>
        <v>75</v>
      </c>
    </row>
    <row r="21" ht="15.75" customHeight="1">
      <c r="A21" s="2" t="s">
        <v>110</v>
      </c>
      <c r="B21" s="2" t="s">
        <v>326</v>
      </c>
      <c r="C21" s="2" t="s">
        <v>328</v>
      </c>
      <c r="D21" s="2">
        <v>3.0</v>
      </c>
      <c r="E21" s="1">
        <f t="shared" si="1"/>
        <v>75</v>
      </c>
    </row>
    <row r="22" ht="15.75" customHeight="1">
      <c r="A22" s="2" t="s">
        <v>119</v>
      </c>
      <c r="B22" s="2" t="s">
        <v>326</v>
      </c>
      <c r="C22" s="2" t="s">
        <v>329</v>
      </c>
      <c r="D22" s="2">
        <v>3.0</v>
      </c>
      <c r="E22" s="1">
        <f t="shared" si="1"/>
        <v>75</v>
      </c>
    </row>
    <row r="23" ht="15.75" customHeight="1">
      <c r="A23" s="2" t="s">
        <v>125</v>
      </c>
    </row>
    <row r="24" ht="15.75" customHeight="1">
      <c r="A24" s="2" t="s">
        <v>129</v>
      </c>
      <c r="B24" s="2" t="s">
        <v>330</v>
      </c>
      <c r="C24" s="2" t="s">
        <v>331</v>
      </c>
      <c r="D24" s="2">
        <v>4.0</v>
      </c>
      <c r="E24" s="2">
        <v>100.0</v>
      </c>
    </row>
    <row r="25" ht="15.75" customHeight="1">
      <c r="A25" s="2" t="s">
        <v>138</v>
      </c>
      <c r="B25" s="2" t="s">
        <v>330</v>
      </c>
      <c r="C25" s="2" t="s">
        <v>332</v>
      </c>
      <c r="D25" s="2">
        <v>4.0</v>
      </c>
      <c r="E25" s="2">
        <v>100.0</v>
      </c>
    </row>
    <row r="26" ht="15.75" customHeight="1">
      <c r="A26" s="2" t="s">
        <v>140</v>
      </c>
      <c r="B26" s="2" t="s">
        <v>330</v>
      </c>
      <c r="C26" s="2" t="s">
        <v>333</v>
      </c>
      <c r="D26" s="2">
        <v>8.0</v>
      </c>
      <c r="E26" s="2">
        <v>200.0</v>
      </c>
    </row>
    <row r="27" ht="15.75" customHeight="1">
      <c r="A27" s="2" t="s">
        <v>146</v>
      </c>
    </row>
    <row r="28" ht="15.75" customHeight="1">
      <c r="A28" s="2" t="s">
        <v>151</v>
      </c>
      <c r="B28" s="2" t="s">
        <v>66</v>
      </c>
      <c r="C28" s="2" t="s">
        <v>155</v>
      </c>
      <c r="D28" s="2">
        <v>1.0</v>
      </c>
      <c r="E28" s="2">
        <v>25.0</v>
      </c>
    </row>
    <row r="29" ht="15.75" customHeight="1">
      <c r="A29" s="2" t="s">
        <v>154</v>
      </c>
      <c r="B29" s="2" t="s">
        <v>334</v>
      </c>
      <c r="D29" s="2">
        <v>4.0</v>
      </c>
      <c r="E29" s="2">
        <v>100.0</v>
      </c>
    </row>
    <row r="30" ht="15.75" customHeight="1">
      <c r="A30" s="2" t="s">
        <v>156</v>
      </c>
      <c r="B30" s="2" t="s">
        <v>334</v>
      </c>
      <c r="D30" s="2">
        <v>4.0</v>
      </c>
      <c r="E30" s="2">
        <v>100.0</v>
      </c>
    </row>
    <row r="31" ht="15.75" customHeight="1">
      <c r="A31" s="2" t="s">
        <v>160</v>
      </c>
      <c r="B31" s="2" t="s">
        <v>163</v>
      </c>
    </row>
    <row r="32" ht="15.75" customHeight="1">
      <c r="A32" s="2" t="s">
        <v>169</v>
      </c>
      <c r="B32" s="2" t="s">
        <v>335</v>
      </c>
      <c r="C32" s="2" t="s">
        <v>336</v>
      </c>
      <c r="D32" s="2">
        <v>3.0</v>
      </c>
      <c r="E32" s="2">
        <v>75.0</v>
      </c>
    </row>
    <row r="33" ht="15.75" customHeight="1">
      <c r="A33" s="2" t="s">
        <v>176</v>
      </c>
      <c r="B33" s="2" t="s">
        <v>337</v>
      </c>
      <c r="C33" s="2" t="s">
        <v>338</v>
      </c>
      <c r="D33" s="2">
        <v>4.0</v>
      </c>
      <c r="E33" s="2">
        <v>100.0</v>
      </c>
    </row>
    <row r="34" ht="15.75" customHeight="1">
      <c r="A34" s="2" t="s">
        <v>191</v>
      </c>
      <c r="B34" s="2" t="s">
        <v>66</v>
      </c>
      <c r="C34" s="2" t="s">
        <v>155</v>
      </c>
      <c r="D34" s="2">
        <v>1.0</v>
      </c>
      <c r="E34" s="2">
        <v>25.0</v>
      </c>
    </row>
    <row r="35" ht="15.75" customHeight="1">
      <c r="A35" s="2" t="s">
        <v>200</v>
      </c>
      <c r="B35" s="2" t="s">
        <v>330</v>
      </c>
      <c r="D35" s="2">
        <v>4.0</v>
      </c>
      <c r="E35" s="2">
        <v>100.0</v>
      </c>
    </row>
    <row r="36" ht="15.75" customHeight="1">
      <c r="A36" s="2" t="s">
        <v>214</v>
      </c>
      <c r="B36" s="2" t="s">
        <v>339</v>
      </c>
      <c r="C36" s="2" t="s">
        <v>340</v>
      </c>
      <c r="D36" s="2">
        <v>4.0</v>
      </c>
      <c r="E36" s="2">
        <v>100.0</v>
      </c>
    </row>
    <row r="37" ht="15.75" customHeight="1">
      <c r="A37" s="2" t="s">
        <v>229</v>
      </c>
      <c r="B37" s="2" t="s">
        <v>230</v>
      </c>
      <c r="C37" s="2"/>
      <c r="D37" s="2">
        <v>4.0</v>
      </c>
      <c r="E37" s="2">
        <v>100.0</v>
      </c>
    </row>
    <row r="38" ht="15.75" customHeight="1">
      <c r="A38" s="2" t="s">
        <v>237</v>
      </c>
      <c r="B38" s="2" t="s">
        <v>230</v>
      </c>
      <c r="D38" s="2">
        <v>4.0</v>
      </c>
      <c r="E38" s="2">
        <v>100.0</v>
      </c>
    </row>
    <row r="39" ht="15.75" customHeight="1">
      <c r="A39" s="2" t="s">
        <v>243</v>
      </c>
      <c r="B39" s="2" t="s">
        <v>341</v>
      </c>
      <c r="D39" s="2">
        <v>5.0</v>
      </c>
      <c r="E39" s="2">
        <v>125.0</v>
      </c>
    </row>
    <row r="40" ht="15.75" customHeight="1">
      <c r="A40" s="2" t="s">
        <v>249</v>
      </c>
      <c r="B40" s="2" t="s">
        <v>230</v>
      </c>
      <c r="D40" s="2">
        <v>3.0</v>
      </c>
      <c r="E40" s="2">
        <v>75.0</v>
      </c>
    </row>
    <row r="41" ht="15.75" customHeight="1">
      <c r="A41" s="2" t="s">
        <v>258</v>
      </c>
      <c r="B41" s="2" t="s">
        <v>66</v>
      </c>
      <c r="C41" s="2" t="s">
        <v>127</v>
      </c>
      <c r="D41" s="2">
        <v>1.0</v>
      </c>
      <c r="E41" s="2">
        <v>25.0</v>
      </c>
    </row>
    <row r="42" ht="15.75" customHeight="1">
      <c r="A42" s="2" t="s">
        <v>342</v>
      </c>
      <c r="B42" s="2" t="s">
        <v>241</v>
      </c>
      <c r="C42" s="2" t="s">
        <v>242</v>
      </c>
      <c r="D42" s="2">
        <v>3.0</v>
      </c>
      <c r="E42" s="2">
        <v>75.0</v>
      </c>
    </row>
    <row r="43" ht="15.75" customHeight="1">
      <c r="A43" s="2" t="s">
        <v>238</v>
      </c>
      <c r="B43" s="2" t="s">
        <v>241</v>
      </c>
      <c r="C43" s="2" t="s">
        <v>242</v>
      </c>
      <c r="D43" s="2">
        <v>4.0</v>
      </c>
      <c r="E43" s="2">
        <v>100.0</v>
      </c>
    </row>
    <row r="44" ht="15.75" customHeight="1">
      <c r="A44" s="2" t="s">
        <v>280</v>
      </c>
      <c r="B44" s="2" t="s">
        <v>97</v>
      </c>
      <c r="C44" s="2" t="s">
        <v>259</v>
      </c>
      <c r="D44" s="2">
        <v>3.0</v>
      </c>
      <c r="E44" s="2">
        <v>75.0</v>
      </c>
    </row>
    <row r="45" ht="15.75" customHeight="1">
      <c r="A45" s="10">
        <v>46238.0</v>
      </c>
      <c r="B45" s="2" t="s">
        <v>343</v>
      </c>
      <c r="C45" s="2" t="s">
        <v>344</v>
      </c>
      <c r="D45" s="2">
        <v>3.0</v>
      </c>
      <c r="E45" s="2">
        <v>75.0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2026-05-22T14:22:19Z</dcterms:created>
  <dc:creator>Xiya Sun</dc:creator>
</cp:coreProperties>
</file>